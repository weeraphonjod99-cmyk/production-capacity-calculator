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7a8494805e4c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a2a7e265c2b4f77"/>
    <x:sheet xmlns:r="http://schemas.openxmlformats.org/officeDocument/2006/relationships" name="Machine Summary" sheetId="2" r:id="R07ca62674db84f5e"/>
    <x:sheet xmlns:r="http://schemas.openxmlformats.org/officeDocument/2006/relationships" name="Product Detail" sheetId="3" r:id="Rb8dc64ea6c044159"/>
    <x:sheet xmlns:r="http://schemas.openxmlformats.org/officeDocument/2006/relationships" name="Assumptions" sheetId="4" r:id="Ra213749ab37644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"/>
    <x:numFmt numFmtId="201" formatCode="0.0%"/>
    <x:numFmt numFmtId="202" formatCode="#,##0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sz val="11"/>
      <x:color rgb="FF17212B"/>
      <x:name val="Carlito"/>
    </x:font>
    <x:font>
      <x:b/>
      <x:sz val="11"/>
      <x:color rgb="FF0F5F4D"/>
      <x:name val="Carlito"/>
    </x:font>
    <x:font>
      <x:b/>
      <x:sz val="15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212B"/>
      </x:patternFill>
    </x:fill>
    <x:fill>
      <x:patternFill patternType="solid">
        <x:fgColor rgb="FF147D64"/>
      </x:patternFill>
    </x:fill>
    <x:fill>
      <x:patternFill patternType="solid">
        <x:fgColor rgb="FFE8F4F0"/>
      </x:patternFill>
    </x:fill>
    <x:fill>
      <x:patternFill patternType="solid">
        <x:fgColor rgb="FFFFFFFF"/>
      </x:patternFill>
    </x:fill>
    <x:fill>
      <x:patternFill patternType="solid">
        <x:fgColor rgb="FFFCE8C8"/>
      </x:patternFill>
    </x:fill>
    <x:fill>
      <x:patternFill patternType="solid">
        <x:fgColor rgb="FFF4F7F8"/>
      </x:patternFill>
    </x:fill>
  </x:fills>
  <x:borders count="16">
    <x:border/>
    <x:border>
      <x:left style="thin">
        <x:color rgb="FFD9E0E4"/>
      </x:left>
      <x:right style="thin">
        <x:color rgb="FFD9E0E4"/>
      </x:right>
      <x:top style="thin">
        <x:color rgb="FFD9E0E4"/>
      </x:top>
      <x:bottom style="thin">
        <x:color rgb="FFD9E0E4"/>
      </x:bottom>
    </x:border>
    <x:border>
      <x:right style="thin">
        <x:color rgb="FFD9E0E4"/>
      </x:right>
      <x:bottom style="thin">
        <x:color rgb="FFD9E0E4"/>
      </x:bottom>
    </x:border>
    <x:border>
      <x:left style="thin">
        <x:color rgb="FFD9E0E4"/>
      </x:left>
      <x:right style="thin">
        <x:color rgb="FFD9E0E4"/>
      </x:right>
      <x:bottom style="thin">
        <x:color rgb="FFD9E0E4"/>
      </x:bottom>
    </x:border>
    <x:border>
      <x:left style="thin">
        <x:color rgb="FFD9E0E4"/>
      </x:left>
      <x:bottom style="thin">
        <x:color rgb="FFD9E0E4"/>
      </x:bottom>
    </x:border>
    <x:border>
      <x:right style="thin">
        <x:color rgb="FFD9E0E4"/>
      </x:right>
      <x:top style="thin">
        <x:color rgb="FFD9E0E4"/>
      </x:top>
      <x:bottom style="thin">
        <x:color rgb="FFD9E0E4"/>
      </x:bottom>
    </x:border>
    <x:border>
      <x:left style="thin">
        <x:color rgb="FFD9E0E4"/>
      </x:left>
      <x:top style="thin">
        <x:color rgb="FFD9E0E4"/>
      </x:top>
      <x:bottom style="thin">
        <x:color rgb="FFD9E0E4"/>
      </x:bottom>
    </x:border>
    <x:border>
      <x:left style="thin">
        <x:color rgb="FF147D64"/>
      </x:left>
      <x:top style="thin">
        <x:color rgb="FF147D64"/>
      </x:top>
      <x:bottom style="thin">
        <x:color rgb="FF147D64"/>
      </x:bottom>
    </x:border>
    <x:border>
      <x:top style="thin">
        <x:color rgb="FF147D64"/>
      </x:top>
      <x:bottom style="thin">
        <x:color rgb="FF147D64"/>
      </x:bottom>
    </x:border>
    <x:border>
      <x:right style="thin">
        <x:color rgb="FF147D64"/>
      </x:right>
      <x:top style="thin">
        <x:color rgb="FF147D64"/>
      </x:top>
      <x:bottom style="thin">
        <x:color rgb="FF147D64"/>
      </x:bottom>
    </x:border>
    <x:border>
      <x:left style="thin">
        <x:color rgb="FFD9E0E4"/>
      </x:left>
      <x:top style="thin">
        <x:color rgb="FFD9E0E4"/>
      </x:top>
    </x:border>
    <x:border>
      <x:right style="thin">
        <x:color rgb="FFD9E0E4"/>
      </x:right>
      <x:top style="thin">
        <x:color rgb="FFD9E0E4"/>
      </x:top>
    </x:border>
    <x:border>
      <x:left style="thin">
        <x:color rgb="FFD9E0E4"/>
      </x:left>
    </x:border>
    <x:border>
      <x:right style="thin">
        <x:color rgb="FFD9E0E4"/>
      </x:right>
    </x:border>
    <x:border>
      <x:top style="thin">
        <x:color rgb="FFD9E0E4"/>
      </x:top>
    </x:border>
    <x:border>
      <x:bottom style="thin">
        <x:color rgb="FFD9E0E4"/>
      </x:bottom>
    </x:border>
  </x:borders>
  <x:cellStyleXfs count="1">
    <x:xf numFmtId="0" fontId="0" fillId="0" borderId="0"/>
  </x:cellStyleXfs>
  <x:cellXfs count="10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1" xfId="0" applyNumberFormat="1" applyFont="1" applyFill="1" applyBorder="1"/>
    <x:xf numFmtId="0" fontId="0" fillId="0" borderId="6" xfId="0" applyNumberFormat="1" applyFont="1" applyFill="1" applyBorder="1"/>
    <x:xf numFmtId="200" fontId="0" fillId="0" borderId="3" xfId="0" applyNumberFormat="1" applyFont="1" applyFill="1" applyBorder="1"/>
    <x:xf numFmtId="200" fontId="0" fillId="0" borderId="1" xfId="0" applyNumberFormat="1" applyFont="1" applyFill="1" applyBorder="1"/>
    <x:xf numFmtId="201" fontId="0" fillId="0" borderId="3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7" xfId="0" applyNumberFormat="1" applyFont="1" applyFill="1" applyBorder="1"/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10" xfId="0" applyNumberFormat="1" applyFont="1" applyFill="1" applyBorder="1"/>
    <x:xf numFmtId="0" fontId="0" fillId="5" borderId="11" xfId="0" applyNumberFormat="1" applyFont="1" applyFill="1" applyBorder="1"/>
    <x:xf numFmtId="0" fontId="0" fillId="5" borderId="12" xfId="0" applyNumberFormat="1" applyFont="1" applyFill="1" applyBorder="1"/>
    <x:xf numFmtId="0" fontId="0" fillId="5" borderId="13" xfId="0" applyNumberFormat="1" applyFont="1" applyFill="1" applyBorder="1"/>
    <x:xf numFmtId="0" fontId="0" fillId="5" borderId="4" xfId="0" applyNumberFormat="1" applyFont="1" applyFill="1" applyBorder="1"/>
    <x:xf numFmtId="0" fontId="0" fillId="5" borderId="2" xfId="0" applyNumberFormat="1" applyFont="1" applyFill="1" applyBorder="1"/>
    <x:xf numFmtId="0" fontId="0" fillId="6" borderId="0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4" xfId="0" applyNumberFormat="1" applyFont="1" applyFill="1" applyBorder="1"/>
    <x:xf numFmtId="0" fontId="0" fillId="6" borderId="2" xfId="0" applyNumberFormat="1" applyFont="1" applyFill="1" applyBorder="1"/>
    <x:xf numFmtId="0" fontId="4" fillId="5" borderId="10" xfId="0" applyNumberFormat="1" applyFont="1" applyFill="1" applyBorder="1"/>
    <x:xf numFmtId="0" fontId="4" fillId="5" borderId="11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5" fillId="5" borderId="12" xfId="0" applyNumberFormat="1" applyFont="1" applyFill="1" applyBorder="1"/>
    <x:xf numFmtId="0" fontId="5" fillId="5" borderId="13" xfId="0" applyNumberFormat="1" applyFont="1" applyFill="1" applyBorder="1"/>
    <x:xf numFmtId="0" fontId="5" fillId="6" borderId="12" xfId="0" applyNumberFormat="1" applyFont="1" applyFill="1" applyBorder="1"/>
    <x:xf numFmtId="0" fontId="5" fillId="6" borderId="13" xfId="0" applyNumberFormat="1" applyFont="1" applyFill="1" applyBorder="1"/>
    <x:xf numFmtId="202" fontId="5" fillId="5" borderId="12" xfId="0" applyNumberFormat="1" applyFont="1" applyFill="1" applyBorder="1"/>
    <x:xf numFmtId="202" fontId="5" fillId="5" borderId="13" xfId="0" applyNumberFormat="1" applyFont="1" applyFill="1" applyBorder="1"/>
    <x:xf numFmtId="202" fontId="5" fillId="6" borderId="12" xfId="0" applyNumberFormat="1" applyFont="1" applyFill="1" applyBorder="1"/>
    <x:xf numFmtId="202" fontId="5" fillId="6" borderId="13" xfId="0" applyNumberFormat="1" applyFont="1" applyFill="1" applyBorder="1"/>
    <x:xf numFmtId="201" fontId="5" fillId="5" borderId="12" xfId="0" applyNumberFormat="1" applyFont="1" applyFill="1" applyBorder="1"/>
    <x:xf numFmtId="0" fontId="0" fillId="7" borderId="0" xfId="0" applyNumberFormat="1" applyFont="1" applyFill="1" applyBorder="1"/>
    <x:xf numFmtId="0" fontId="0" fillId="7" borderId="10" xfId="0" applyNumberFormat="1" applyFont="1" applyFill="1" applyBorder="1"/>
    <x:xf numFmtId="0" fontId="0" fillId="7" borderId="14" xfId="0" applyNumberFormat="1" applyFont="1" applyFill="1" applyBorder="1"/>
    <x:xf numFmtId="0" fontId="0" fillId="7" borderId="11" xfId="0" applyNumberFormat="1" applyFont="1" applyFill="1" applyBorder="1"/>
    <x:xf numFmtId="0" fontId="0" fillId="7" borderId="12" xfId="0" applyNumberFormat="1" applyFont="1" applyFill="1" applyBorder="1"/>
    <x:xf numFmtId="0" fontId="0" fillId="7" borderId="13" xfId="0" applyNumberFormat="1" applyFont="1" applyFill="1" applyBorder="1"/>
    <x:xf numFmtId="0" fontId="0" fillId="7" borderId="4" xfId="0" applyNumberFormat="1" applyFont="1" applyFill="1" applyBorder="1"/>
    <x:xf numFmtId="0" fontId="0" fillId="7" borderId="15" xfId="0" applyNumberFormat="1" applyFont="1" applyFill="1" applyBorder="1"/>
    <x:xf numFmtId="0" fontId="0" fillId="7" borderId="2" xfId="0" applyNumberFormat="1" applyFont="1" applyFill="1" applyBorder="1"/>
    <x:xf numFmtId="0" fontId="0" fillId="7" borderId="10" xfId="0" applyNumberFormat="1" applyFont="1" applyFill="1" applyBorder="1" applyAlignment="1">
      <x:alignment wrapText="1"/>
    </x:xf>
    <x:xf numFmtId="0" fontId="0" fillId="7" borderId="14" xfId="0" applyNumberFormat="1" applyFont="1" applyFill="1" applyBorder="1" applyAlignment="1">
      <x:alignment wrapText="1"/>
    </x:xf>
    <x:xf numFmtId="0" fontId="0" fillId="7" borderId="11" xfId="0" applyNumberFormat="1" applyFont="1" applyFill="1" applyBorder="1" applyAlignment="1">
      <x:alignment wrapText="1"/>
    </x:xf>
    <x:xf numFmtId="0" fontId="0" fillId="7" borderId="12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7" borderId="13" xfId="0" applyNumberFormat="1" applyFont="1" applyFill="1" applyBorder="1" applyAlignment="1">
      <x:alignment wrapText="1"/>
    </x:xf>
    <x:xf numFmtId="0" fontId="0" fillId="7" borderId="4" xfId="0" applyNumberFormat="1" applyFont="1" applyFill="1" applyBorder="1" applyAlignment="1">
      <x:alignment wrapText="1"/>
    </x:xf>
    <x:xf numFmtId="0" fontId="0" fillId="7" borderId="15" xfId="0" applyNumberFormat="1" applyFont="1" applyFill="1" applyBorder="1" applyAlignment="1">
      <x:alignment wrapText="1"/>
    </x:xf>
    <x:xf numFmtId="0" fontId="0" fillId="7" borderId="2" xfId="0" applyNumberFormat="1" applyFont="1" applyFill="1" applyBorder="1" applyAlignment="1">
      <x:alignment wrapText="1"/>
    </x:xf>
    <x:xf numFmtId="201" fontId="0" fillId="0" borderId="4" xfId="0" applyNumberFormat="1" applyFont="1" applyFill="1" applyBorder="1"/>
    <x:xf numFmtId="201" fontId="0" fillId="0" borderId="6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2" fillId="3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wrapText="1"/>
    </x:xf>
    <x:xf numFmtId="0" fontId="2" fillId="3" borderId="9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5" borderId="10" xfId="0" applyNumberFormat="1" applyFont="1" applyFill="1" applyBorder="1" applyAlignment="1">
      <x:alignment wrapText="1"/>
    </x:xf>
    <x:xf numFmtId="0" fontId="4" fillId="5" borderId="11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0" fillId="5" borderId="11" xfId="0" applyNumberFormat="1" applyFont="1" applyFill="1" applyBorder="1" applyAlignment="1">
      <x:alignment wrapText="1"/>
    </x:xf>
    <x:xf numFmtId="202" fontId="5" fillId="5" borderId="12" xfId="0" applyNumberFormat="1" applyFont="1" applyFill="1" applyBorder="1" applyAlignment="1">
      <x:alignment wrapText="1"/>
    </x:xf>
    <x:xf numFmtId="202" fontId="5" fillId="5" borderId="13" xfId="0" applyNumberFormat="1" applyFont="1" applyFill="1" applyBorder="1" applyAlignment="1">
      <x:alignment wrapText="1"/>
    </x:xf>
    <x:xf numFmtId="202" fontId="5" fillId="6" borderId="12" xfId="0" applyNumberFormat="1" applyFont="1" applyFill="1" applyBorder="1" applyAlignment="1">
      <x:alignment wrapText="1"/>
    </x:xf>
    <x:xf numFmtId="202" fontId="5" fillId="6" borderId="13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wrapText="1"/>
    </x:xf>
    <x:xf numFmtId="201" fontId="5" fillId="5" borderId="12" xfId="0" applyNumberFormat="1" applyFont="1" applyFill="1" applyBorder="1" applyAlignment="1">
      <x:alignment wrapText="1"/>
    </x:xf>
    <x:xf numFmtId="0" fontId="0" fillId="5" borderId="13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wrapText="1"/>
    </x:xf>
    <x:xf numFmtId="0" fontId="0" fillId="6" borderId="4" xfId="0" applyNumberFormat="1" applyFont="1" applyFill="1" applyBorder="1" applyAlignment="1">
      <x:alignment wrapText="1"/>
    </x:xf>
    <x:xf numFmtId="0" fontId="0" fillId="6" borderId="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201" fontId="0" fillId="0" borderId="4" xfId="0" applyNumberFormat="1" applyFont="1" applyFill="1" applyBorder="1" applyAlignment="1">
      <x:alignment wrapText="1"/>
    </x:xf>
    <x:xf numFmtId="200" fontId="0" fillId="0" borderId="3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6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1e7e39d1a948df" /><Relationship Type="http://schemas.openxmlformats.org/officeDocument/2006/relationships/theme" Target="/xl/theme/theme1.xml" Id="R3b54d5fa33104a94" /><Relationship Type="http://schemas.openxmlformats.org/officeDocument/2006/relationships/sharedStrings" Target="/xl/sharedStrings.xml" Id="R0999e5c3679c446c" /><Relationship Type="http://schemas.openxmlformats.org/officeDocument/2006/relationships/worksheet" Target="/xl/worksheets/sheet1.xml" Id="Rfa2a7e265c2b4f77" /><Relationship Type="http://schemas.openxmlformats.org/officeDocument/2006/relationships/worksheet" Target="/xl/worksheets/sheet2.xml" Id="R07ca62674db84f5e" /><Relationship Type="http://schemas.openxmlformats.org/officeDocument/2006/relationships/worksheet" Target="/xl/worksheets/sheet3.xml" Id="Rb8dc64ea6c044159" /><Relationship Type="http://schemas.openxmlformats.org/officeDocument/2006/relationships/worksheet" Target="/xl/worksheets/sheet4.xml" Id="Ra213749ab376441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548387fc2fc4928" /><Relationship Type="http://schemas.openxmlformats.org/officeDocument/2006/relationships/chart" Target="/xl/drawings/charts/chart2.xml" Id="R989a79f06b8b4d8c" /><Relationship Type="http://schemas.openxmlformats.org/officeDocument/2006/relationships/chart" Target="/xl/drawings/charts/chart3.xml" Id="Rca1b692580164ab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 Utilization by Machine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Utilization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'Dashboard'!$B$15:$B$26</c:f>
              <c:strCache>
                <c:ptCount val="0"/>
              </c:strCache>
            </c:strRef>
          </c:cat>
          <c:val>
            <c:numRef>
              <c:f>'Dashboard'!$C$15:$C$26</c:f>
              <c:numCache>
                <c:formatCode>0.0%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Required vs Available Shifts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Required Shifts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'Dashboard'!$D$15:$D$26</c:f>
              <c:strCache>
                <c:ptCount val="0"/>
              </c:strCache>
            </c:strRef>
          </c:cat>
          <c:val>
            <c:numRef>
              <c:f>'Dashboard'!$E$15:$E$26</c:f>
              <c:numCache>
                <c:formatCode>#,##0.0</c:formatCode>
                <c:ptCount val="0"/>
              </c:numCache>
            </c:numRef>
          </c:val>
        </c:ser>
        <c:ser>
          <c:idx val="1"/>
          <c:order val="1"/>
          <c:tx>
            <c:v>Available Shifts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'Dashboard'!$D$15:$D$26</c:f>
              <c:strCache>
                <c:ptCount val="0"/>
              </c:strCache>
            </c:strRef>
          </c:cat>
          <c:val>
            <c:numRef>
              <c:f>'Dashboard'!$F$15:$F$26</c:f>
              <c:numCache>
                <c:formatCode>#,##0.0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Machine Status Count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'Dashboard'!$H$15:$H$18</c:f>
              <c:strCache>
                <c:ptCount val="0"/>
              </c:strCache>
            </c:strRef>
          </c:cat>
          <c:val>
            <c:numRef>
              <c:f>'Dashboard'!$I$15:$I$18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29</xdr:row>
      <xdr:rowOff>0</xdr:rowOff>
    </xdr:from>
    <xdr:to>
      <xdr:col>6</xdr:col>
      <xdr:colOff>0</xdr:colOff>
      <xdr:row>48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548387fc2fc4928"/>
        </a:graphicData>
      </a:graphic>
    </xdr:graphicFrame>
    <xdr:clientData/>
  </xdr:twoCellAnchor>
  <xdr:twoCellAnchor>
    <xdr:from>
      <xdr:col>6</xdr:col>
      <xdr:colOff>0</xdr:colOff>
      <xdr:row>29</xdr:row>
      <xdr:rowOff>0</xdr:rowOff>
    </xdr:from>
    <xdr:to>
      <xdr:col>12</xdr:col>
      <xdr:colOff>0</xdr:colOff>
      <xdr:row>48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89a79f06b8b4d8c"/>
        </a:graphicData>
      </a:graphic>
    </xdr:graphicFrame>
    <xdr:clientData/>
  </xdr:twoCellAnchor>
  <xdr:twoCellAnchor>
    <xdr:from>
      <xdr:col>9</xdr:col>
      <xdr:colOff>0</xdr:colOff>
      <xdr:row>13</xdr:row>
      <xdr:rowOff>0</xdr:rowOff>
    </xdr:from>
    <xdr:to>
      <xdr:col>12</xdr:col>
      <xdr:colOff>0</xdr:colOff>
      <xdr:row>27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a1b692580164ab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MachineSummaryTable" displayName="MachineSummaryTable" ref="A1:P31" headerRowCount="1">
  <x:tableColumns count="16">
    <x:tableColumn id="1" name="Rank"/>
    <x:tableColumn id="2" name="Sheet"/>
    <x:tableColumn id="3" name="Machine / Section"/>
    <x:tableColumn id="4" name="Products"/>
    <x:tableColumn id="5" name="Monthly Demand"/>
    <x:tableColumn id="6" name="Daily Capacity 10h"/>
    <x:tableColumn id="7" name="Monthly Capacity 26d"/>
    <x:tableColumn id="8" name="Required Shifts"/>
    <x:tableColumn id="9" name="Current Equipment"/>
    <x:tableColumn id="10" name="Available Shifts"/>
    <x:tableColumn id="11" name="Utilization"/>
    <x:tableColumn id="12" name="Additional Shifts Needed"/>
    <x:tableColumn id="13" name="Machines Required"/>
    <x:tableColumn id="14" name="Machine Gap"/>
    <x:tableColumn id="15" name="Weighted OEE"/>
    <x:tableColumn id="16" name="Status"/>
  </x:tableColumns>
  <x:tableStyleInfo name="TableStyleMedium2" showRowStripes="1"/>
</x:table>
</file>

<file path=xl/tables/table2.xml><?xml version="1.0" encoding="utf-8"?>
<x:table xmlns:x="http://schemas.openxmlformats.org/spreadsheetml/2006/main" id="1" name="ProductDetailTable" displayName="ProductDetailTable" ref="A1:R248" headerRowCount="1">
  <x:tableColumns count="18">
    <x:tableColumn id="1" name="Sheet"/>
    <x:tableColumn id="2" name="Machine / Section"/>
    <x:tableColumn id="3" name="Customer"/>
    <x:tableColumn id="4" name="Mass Production Time"/>
    <x:tableColumn id="5" name="Product Name"/>
    <x:tableColumn id="6" name="Product Number"/>
    <x:tableColumn id="7" name="Product Spec"/>
    <x:tableColumn id="8" name="Monthly Forecast"/>
    <x:tableColumn id="9" name="Daily Capacity 10h"/>
    <x:tableColumn id="10" name="Current Equipment"/>
    <x:tableColumn id="11" name="Monthly Capacity 26d"/>
    <x:tableColumn id="12" name="Required Shifts"/>
    <x:tableColumn id="13" name="Available Shifts"/>
    <x:tableColumn id="14" name="Utilization"/>
    <x:tableColumn id="15" name="OEE"/>
    <x:tableColumn id="16" name="Cavities"/>
    <x:tableColumn id="17" name="Process Time Sec"/>
    <x:tableColumn id="18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bfe90644f5b402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96c33ba3a0d4d5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00c424f24c54f8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14" hidden="0" customWidth="1"/>
    <x:col min="4" max="4" width="24" hidden="0" customWidth="1"/>
    <x:col min="5" max="5" width="14" hidden="0" customWidth="1"/>
    <x:col min="6" max="6" width="14" hidden="0" customWidth="1"/>
    <x:col min="7" max="7" width="14" hidden="0" customWidth="1"/>
    <x:col min="8" max="8" width="18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>
      <x:c r="A1" s="71" t="str">
        <x:v>Machine Production Capacity Analysis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3"/>
    </x:row>
    <x:row r="2">
      <x:c r="A2" s="74" t="str">
        <x:v>Source: 30.5.2026 Capacity utilization rate workbook | Basis: 10 hours/day, 26 working days/month</x:v>
      </x:c>
      <x:c r="B2" s="74"/>
      <x:c r="C2" s="74"/>
      <x:c r="D2" s="74"/>
      <x:c r="E2" s="74"/>
      <x:c r="F2" s="74"/>
      <x:c r="G2" s="74"/>
      <x:c r="H2" s="74"/>
      <x:c r="I2" s="74"/>
      <x:c r="J2" s="74"/>
      <x:c r="K2" s="74"/>
      <x:c r="L2" s="74"/>
    </x:row>
    <x:row r="3">
      <x:c r="A3" s="75"/>
      <x:c r="B3" s="75"/>
      <x:c r="C3" s="75"/>
      <x:c r="D3" s="75"/>
      <x:c r="E3" s="75"/>
      <x:c r="F3" s="75"/>
      <x:c r="G3" s="75"/>
      <x:c r="H3" s="75"/>
      <x:c r="I3" s="75"/>
      <x:c r="J3" s="75"/>
      <x:c r="K3" s="75"/>
      <x:c r="L3" s="75"/>
    </x:row>
    <x:row r="4">
      <x:c r="A4" s="76" t="str">
        <x:v>Total monthly demand</x:v>
      </x:c>
      <x:c r="B4" s="77"/>
      <x:c r="C4" s="76" t="str">
        <x:v>Monthly capacity</x:v>
      </x:c>
      <x:c r="D4" s="77"/>
      <x:c r="E4" s="76" t="str">
        <x:v>Required shifts</x:v>
      </x:c>
      <x:c r="F4" s="77"/>
      <x:c r="G4" s="78" t="str">
        <x:v>Over capacity</x:v>
      </x:c>
      <x:c r="H4" s="79"/>
      <x:c r="I4" s="78" t="str">
        <x:v>Machine gap</x:v>
      </x:c>
      <x:c r="J4" s="79"/>
      <x:c r="K4" s="76" t="str">
        <x:v>Total utilization</x:v>
      </x:c>
      <x:c r="L4" s="80"/>
    </x:row>
    <x:row r="5">
      <x:c r="A5" s="81" t="n">
        <x:f>SUM('Machine Summary'!E2:E31)</x:f>
        <x:v>26831599.8</x:v>
      </x:c>
      <x:c r="B5" s="82"/>
      <x:c r="C5" s="81" t="n">
        <x:f>SUM('Machine Summary'!G2:G31)</x:f>
        <x:v>63365975.400000006</x:v>
      </x:c>
      <x:c r="D5" s="82"/>
      <x:c r="E5" s="81" t="n">
        <x:f>SUM('Machine Summary'!H2:H31)</x:f>
        <x:v>1266.4799999999998</x:v>
      </x:c>
      <x:c r="F5" s="82"/>
      <x:c r="G5" s="83" t="n">
        <x:f>COUNTIF('Machine Summary'!P2:P31,"Over capacity")</x:f>
        <x:v>17</x:v>
      </x:c>
      <x:c r="H5" s="84"/>
      <x:c r="I5" s="83" t="n">
        <x:f>SUM('Machine Summary'!N2:N31)</x:f>
        <x:v>29</x:v>
      </x:c>
      <x:c r="J5" s="85"/>
      <x:c r="K5" s="86" t="n">
        <x:f>IFERROR(SUM('Machine Summary'!H2:H31)/SUM('Machine Summary'!J2:J31),0)</x:f>
        <x:v>1.4326696832579182</x:v>
      </x:c>
      <x:c r="L5" s="87"/>
    </x:row>
    <x:row r="6">
      <x:c r="A6" s="88" t="str">
        <x:v>pcs/month</x:v>
      </x:c>
      <x:c r="B6" s="89"/>
      <x:c r="C6" s="88" t="str">
        <x:v>pcs/month</x:v>
      </x:c>
      <x:c r="D6" s="89"/>
      <x:c r="E6" s="88" t="str">
        <x:v>shifts</x:v>
      </x:c>
      <x:c r="F6" s="89"/>
      <x:c r="G6" s="90" t="str">
        <x:v>machines</x:v>
      </x:c>
      <x:c r="H6" s="91"/>
      <x:c r="I6" s="90" t="str">
        <x:v>machines</x:v>
      </x:c>
      <x:c r="J6" s="91"/>
      <x:c r="K6" s="88" t="str">
        <x:v>of available shifts</x:v>
      </x:c>
      <x:c r="L6" s="89"/>
    </x:row>
    <x:row r="7">
      <x:c r="A7" s="75"/>
      <x:c r="B7" s="75"/>
      <x:c r="C7" s="75"/>
      <x:c r="D7" s="75"/>
      <x:c r="E7" s="75"/>
      <x:c r="F7" s="75"/>
      <x:c r="G7" s="75"/>
      <x:c r="H7" s="75"/>
      <x:c r="I7" s="75"/>
      <x:c r="J7" s="75"/>
      <x:c r="K7" s="75"/>
      <x:c r="L7" s="75"/>
    </x:row>
    <x:row r="8">
      <x:c r="A8" s="92" t="str">
        <x:v>Executive Summary</x:v>
      </x:c>
      <x:c r="B8" s="92"/>
      <x:c r="C8" s="92"/>
      <x:c r="D8" s="92"/>
      <x:c r="E8" s="92"/>
      <x:c r="F8" s="92"/>
      <x:c r="G8" s="92"/>
      <x:c r="H8" s="92"/>
      <x:c r="I8" s="92"/>
      <x:c r="J8" s="92"/>
      <x:c r="K8" s="92"/>
      <x:c r="L8" s="92"/>
    </x:row>
    <x:row r="9">
      <x:c r="A9" s="58" t="str">
        <x:v>Analyzed 247 product records across 30 machine/section groups.</x:v>
      </x:c>
      <x:c r="B9" s="59"/>
      <x:c r="C9" s="59"/>
      <x:c r="D9" s="59"/>
      <x:c r="E9" s="59"/>
      <x:c r="F9" s="59"/>
      <x:c r="G9" s="59"/>
      <x:c r="H9" s="59"/>
      <x:c r="I9" s="59"/>
      <x:c r="J9" s="59"/>
      <x:c r="K9" s="59"/>
      <x:c r="L9" s="60"/>
    </x:row>
    <x:row r="10">
      <x:c r="A10" s="61" t="str">
        <x:v>Total forecast is 26,831,600 pcs/month, requiring 1266.5 shifts against 884.0 available shifts.</x:v>
      </x:c>
      <x:c r="B10" s="62"/>
      <x:c r="C10" s="62"/>
      <x:c r="D10" s="62"/>
      <x:c r="E10" s="62"/>
      <x:c r="F10" s="62"/>
      <x:c r="G10" s="62"/>
      <x:c r="H10" s="62"/>
      <x:c r="I10" s="62"/>
      <x:c r="J10" s="62"/>
      <x:c r="K10" s="62"/>
      <x:c r="L10" s="63"/>
    </x:row>
    <x:row r="11">
      <x:c r="A11" s="61" t="str">
        <x:v>17 machines are over capacity and 3 machines are high load; estimated machine gap is 29 machine(s).</x:v>
      </x:c>
      <x:c r="B11" s="62"/>
      <x:c r="C11" s="62"/>
      <x:c r="D11" s="62"/>
      <x:c r="E11" s="62"/>
      <x:c r="F11" s="62"/>
      <x:c r="G11" s="62"/>
      <x:c r="H11" s="62"/>
      <x:c r="I11" s="62"/>
      <x:c r="J11" s="62"/>
      <x:c r="K11" s="62"/>
      <x:c r="L11" s="63"/>
    </x:row>
    <x:row r="12">
      <x:c r="A12" s="64" t="str">
        <x:v>Top bottleneck: 3-Axis CNC at 801.3% utilization.</x:v>
      </x:c>
      <x:c r="B12" s="65"/>
      <x:c r="C12" s="65"/>
      <x:c r="D12" s="65"/>
      <x:c r="E12" s="65"/>
      <x:c r="F12" s="65"/>
      <x:c r="G12" s="65"/>
      <x:c r="H12" s="65"/>
      <x:c r="I12" s="65"/>
      <x:c r="J12" s="65"/>
      <x:c r="K12" s="65"/>
      <x:c r="L12" s="66"/>
    </x:row>
    <x:row r="13">
      <x:c r="A13" s="75"/>
      <x:c r="B13" s="75"/>
      <x:c r="C13" s="75"/>
      <x:c r="D13" s="75"/>
      <x:c r="E13" s="75"/>
      <x:c r="F13" s="75"/>
      <x:c r="G13" s="75"/>
      <x:c r="H13" s="75"/>
      <x:c r="I13" s="75"/>
      <x:c r="J13" s="75"/>
      <x:c r="K13" s="75"/>
      <x:c r="L13" s="75"/>
    </x:row>
    <x:row r="14">
      <x:c r="A14" s="4" t="str">
        <x:v>Rank</x:v>
      </x:c>
      <x:c r="B14" s="4" t="str">
        <x:v>Machine</x:v>
      </x:c>
      <x:c r="C14" s="4" t="str">
        <x:v>Utilization</x:v>
      </x:c>
      <x:c r="D14" s="4" t="str">
        <x:v>Machine</x:v>
      </x:c>
      <x:c r="E14" s="4" t="str">
        <x:v>Required Shifts</x:v>
      </x:c>
      <x:c r="F14" s="4" t="str">
        <x:v>Available Shifts</x:v>
      </x:c>
      <x:c r="G14" s="75"/>
      <x:c r="H14" s="4" t="str">
        <x:v>Status</x:v>
      </x:c>
      <x:c r="I14" s="4" t="str">
        <x:v>Count</x:v>
      </x:c>
      <x:c r="J14" s="75"/>
      <x:c r="K14" s="75"/>
      <x:c r="L14" s="75"/>
    </x:row>
    <x:row r="15">
      <x:c r="A15" s="93" t="n">
        <x:v>1</x:v>
      </x:c>
      <x:c r="B15" s="94" t="str">
        <x:v>3-Axis CNC</x:v>
      </x:c>
      <x:c r="C15" s="95" t="n">
        <x:v>8.0131</x:v>
      </x:c>
      <x:c r="D15" s="93" t="str">
        <x:v>3-Axis CNC</x:v>
      </x:c>
      <x:c r="E15" s="96" t="n">
        <x:v>208.34</x:v>
      </x:c>
      <x:c r="F15" s="97" t="n">
        <x:v>26</x:v>
      </x:c>
      <x:c r="G15" s="75"/>
      <x:c r="H15" s="93" t="str">
        <x:v>Over capacity</x:v>
      </x:c>
      <x:c r="I15" s="98" t="n">
        <x:v>17</x:v>
      </x:c>
      <x:c r="J15" s="75"/>
      <x:c r="K15" s="75"/>
      <x:c r="L15" s="75"/>
    </x:row>
    <x:row r="16">
      <x:c r="A16" s="99" t="n">
        <x:v>2</x:v>
      </x:c>
      <x:c r="B16" s="100" t="str">
        <x:v>折弯</x:v>
      </x:c>
      <x:c r="C16" s="101" t="n">
        <x:v>2.8846</x:v>
      </x:c>
      <x:c r="D16" s="99" t="str">
        <x:v>折弯</x:v>
      </x:c>
      <x:c r="E16" s="102" t="n">
        <x:v>75</x:v>
      </x:c>
      <x:c r="F16" s="103" t="n">
        <x:v>26</x:v>
      </x:c>
      <x:c r="G16" s="75"/>
      <x:c r="H16" s="99" t="str">
        <x:v>High load</x:v>
      </x:c>
      <x:c r="I16" s="104" t="n">
        <x:v>3</x:v>
      </x:c>
      <x:c r="J16" s="75"/>
      <x:c r="K16" s="75"/>
      <x:c r="L16" s="75"/>
    </x:row>
    <x:row r="17">
      <x:c r="A17" s="99" t="n">
        <x:v>3</x:v>
      </x:c>
      <x:c r="B17" s="100" t="str">
        <x:v>TAP产能分析</x:v>
      </x:c>
      <x:c r="C17" s="101" t="n">
        <x:v>2.7836</x:v>
      </x:c>
      <x:c r="D17" s="99" t="str">
        <x:v>TAP产能分析</x:v>
      </x:c>
      <x:c r="E17" s="102" t="n">
        <x:v>72.37</x:v>
      </x:c>
      <x:c r="F17" s="103" t="n">
        <x:v>26</x:v>
      </x:c>
      <x:c r="G17" s="75"/>
      <x:c r="H17" s="99" t="str">
        <x:v>Normal</x:v>
      </x:c>
      <x:c r="I17" s="104" t="n">
        <x:v>6</x:v>
      </x:c>
      <x:c r="J17" s="75"/>
      <x:c r="K17" s="75"/>
      <x:c r="L17" s="75"/>
    </x:row>
    <x:row r="18">
      <x:c r="A18" s="99" t="n">
        <x:v>4</x:v>
      </x:c>
      <x:c r="B18" s="100" t="str">
        <x:v>200 T</x:v>
      </x:c>
      <x:c r="C18" s="101" t="n">
        <x:v>2.7203</x:v>
      </x:c>
      <x:c r="D18" s="99" t="str">
        <x:v>200 T</x:v>
      </x:c>
      <x:c r="E18" s="102" t="n">
        <x:v>70.73</x:v>
      </x:c>
      <x:c r="F18" s="103" t="n">
        <x:v>26</x:v>
      </x:c>
      <x:c r="G18" s="75"/>
      <x:c r="H18" s="99" t="str">
        <x:v>Low load</x:v>
      </x:c>
      <x:c r="I18" s="104" t="n">
        <x:v>4</x:v>
      </x:c>
      <x:c r="J18" s="75"/>
      <x:c r="K18" s="75"/>
      <x:c r="L18" s="75"/>
    </x:row>
    <x:row r="19">
      <x:c r="A19" s="99" t="n">
        <x:v>5</x:v>
      </x:c>
      <x:c r="B19" s="100" t="str">
        <x:v>设备 260T</x:v>
      </x:c>
      <x:c r="C19" s="101" t="n">
        <x:v>2.3902</x:v>
      </x:c>
      <x:c r="D19" s="99" t="str">
        <x:v>设备 260T</x:v>
      </x:c>
      <x:c r="E19" s="102" t="n">
        <x:v>62.15</x:v>
      </x:c>
      <x:c r="F19" s="103" t="n">
        <x:v>26</x:v>
      </x:c>
      <x:c r="G19" s="75"/>
      <x:c r="H19" s="75"/>
      <x:c r="I19" s="75"/>
      <x:c r="J19" s="75"/>
      <x:c r="K19" s="75"/>
      <x:c r="L19" s="75"/>
    </x:row>
    <x:row r="20">
      <x:c r="A20" s="99" t="n">
        <x:v>6</x:v>
      </x:c>
      <x:c r="B20" s="100" t="str">
        <x:v>4-Axis CNC</x:v>
      </x:c>
      <x:c r="C20" s="101" t="n">
        <x:v>2.3718</x:v>
      </x:c>
      <x:c r="D20" s="99" t="str">
        <x:v>4-Axis CNC</x:v>
      </x:c>
      <x:c r="E20" s="102" t="n">
        <x:v>61.67</x:v>
      </x:c>
      <x:c r="F20" s="103" t="n">
        <x:v>26</x:v>
      </x:c>
      <x:c r="G20" s="75"/>
      <x:c r="H20" s="75"/>
      <x:c r="I20" s="75"/>
      <x:c r="J20" s="75"/>
      <x:c r="K20" s="75"/>
      <x:c r="L20" s="75"/>
    </x:row>
    <x:row r="21">
      <x:c r="A21" s="99" t="n">
        <x:v>7</x:v>
      </x:c>
      <x:c r="B21" s="100" t="str">
        <x:v>CNC 压铸机</x:v>
      </x:c>
      <x:c r="C21" s="101" t="n">
        <x:v>1.7527</x:v>
      </x:c>
      <x:c r="D21" s="99" t="str">
        <x:v>CNC 压铸机</x:v>
      </x:c>
      <x:c r="E21" s="102" t="n">
        <x:v>45.57</x:v>
      </x:c>
      <x:c r="F21" s="103" t="n">
        <x:v>26</x:v>
      </x:c>
      <x:c r="G21" s="75"/>
      <x:c r="H21" s="75"/>
      <x:c r="I21" s="75"/>
      <x:c r="J21" s="75"/>
      <x:c r="K21" s="75"/>
      <x:c r="L21" s="75"/>
    </x:row>
    <x:row r="22">
      <x:c r="A22" s="99" t="n">
        <x:v>8</x:v>
      </x:c>
      <x:c r="B22" s="100" t="str">
        <x:v>150T产能6#</x:v>
      </x:c>
      <x:c r="C22" s="101" t="n">
        <x:v>1.7051</x:v>
      </x:c>
      <x:c r="D22" s="99" t="str">
        <x:v>150T产能6#</x:v>
      </x:c>
      <x:c r="E22" s="102" t="n">
        <x:v>44.33</x:v>
      </x:c>
      <x:c r="F22" s="103" t="n">
        <x:v>26</x:v>
      </x:c>
      <x:c r="G22" s="75"/>
      <x:c r="H22" s="75"/>
      <x:c r="I22" s="75"/>
      <x:c r="J22" s="75"/>
      <x:c r="K22" s="75"/>
      <x:c r="L22" s="75"/>
    </x:row>
    <x:row r="23">
      <x:c r="A23" s="99" t="n">
        <x:v>9</x:v>
      </x:c>
      <x:c r="B23" s="100" t="str">
        <x:v>M/C :RW1</x:v>
      </x:c>
      <x:c r="C23" s="101" t="n">
        <x:v>1.5696</x:v>
      </x:c>
      <x:c r="D23" s="99" t="str">
        <x:v>M/C :RW1</x:v>
      </x:c>
      <x:c r="E23" s="102" t="n">
        <x:v>40.81</x:v>
      </x:c>
      <x:c r="F23" s="103" t="n">
        <x:v>26</x:v>
      </x:c>
      <x:c r="G23" s="75"/>
      <x:c r="H23" s="75"/>
      <x:c r="I23" s="75"/>
      <x:c r="J23" s="75"/>
      <x:c r="K23" s="75"/>
      <x:c r="L23" s="75"/>
    </x:row>
    <x:row r="24">
      <x:c r="A24" s="99" t="n">
        <x:v>10</x:v>
      </x:c>
      <x:c r="B24" s="100" t="str">
        <x:v>110T</x:v>
      </x:c>
      <x:c r="C24" s="101" t="n">
        <x:v>1.4908</x:v>
      </x:c>
      <x:c r="D24" s="99" t="str">
        <x:v>110T</x:v>
      </x:c>
      <x:c r="E24" s="102" t="n">
        <x:v>38.76</x:v>
      </x:c>
      <x:c r="F24" s="103" t="n">
        <x:v>26</x:v>
      </x:c>
      <x:c r="G24" s="75"/>
      <x:c r="H24" s="75"/>
      <x:c r="I24" s="75"/>
      <x:c r="J24" s="75"/>
      <x:c r="K24" s="75"/>
      <x:c r="L24" s="75"/>
    </x:row>
    <x:row r="25">
      <x:c r="A25" s="99" t="n">
        <x:v>11</x:v>
      </x:c>
      <x:c r="B25" s="100" t="str">
        <x:v>300T</x:v>
      </x:c>
      <x:c r="C25" s="101" t="n">
        <x:v>1.487</x:v>
      </x:c>
      <x:c r="D25" s="99" t="str">
        <x:v>300T</x:v>
      </x:c>
      <x:c r="E25" s="102" t="n">
        <x:v>38.66</x:v>
      </x:c>
      <x:c r="F25" s="103" t="n">
        <x:v>26</x:v>
      </x:c>
      <x:c r="G25" s="75"/>
      <x:c r="H25" s="75"/>
      <x:c r="I25" s="75"/>
      <x:c r="J25" s="75"/>
      <x:c r="K25" s="75"/>
      <x:c r="L25" s="75"/>
    </x:row>
    <x:row r="26">
      <x:c r="A26" s="99" t="n">
        <x:v>12</x:v>
      </x:c>
      <x:c r="B26" s="100" t="str">
        <x:v>M/C :RW2</x:v>
      </x:c>
      <x:c r="C26" s="101" t="n">
        <x:v>1.3981</x:v>
      </x:c>
      <x:c r="D26" s="99" t="str">
        <x:v>M/C :RW2</x:v>
      </x:c>
      <x:c r="E26" s="102" t="n">
        <x:v>36.35</x:v>
      </x:c>
      <x:c r="F26" s="103" t="n">
        <x:v>26</x:v>
      </x:c>
      <x:c r="G26" s="75"/>
      <x:c r="H26" s="75"/>
      <x:c r="I26" s="75"/>
      <x:c r="J26" s="75"/>
      <x:c r="K26" s="75"/>
      <x:c r="L26" s="75"/>
    </x:row>
    <x:row r="27">
      <x:c r="A27" s="75"/>
      <x:c r="B27" s="75"/>
      <x:c r="C27" s="75"/>
      <x:c r="D27" s="75"/>
      <x:c r="E27" s="75"/>
      <x:c r="F27" s="75"/>
      <x:c r="G27" s="75"/>
      <x:c r="H27" s="75"/>
      <x:c r="I27" s="75"/>
      <x:c r="J27" s="75"/>
      <x:c r="K27" s="75"/>
      <x:c r="L27" s="75"/>
    </x:row>
    <x:row r="28">
      <x:c r="A28" s="75"/>
      <x:c r="B28" s="75"/>
      <x:c r="C28" s="75"/>
      <x:c r="D28" s="75"/>
      <x:c r="E28" s="75"/>
      <x:c r="F28" s="75"/>
      <x:c r="G28" s="75"/>
      <x:c r="H28" s="75"/>
      <x:c r="I28" s="75"/>
      <x:c r="J28" s="75"/>
      <x:c r="K28" s="75"/>
      <x:c r="L28" s="75"/>
    </x:row>
    <x:row r="29">
      <x:c r="A29" s="75"/>
      <x:c r="B29" s="75"/>
      <x:c r="C29" s="75"/>
      <x:c r="D29" s="75"/>
      <x:c r="E29" s="75"/>
      <x:c r="F29" s="75"/>
      <x:c r="G29" s="75"/>
      <x:c r="H29" s="75"/>
      <x:c r="I29" s="75"/>
      <x:c r="J29" s="75"/>
      <x:c r="K29" s="75"/>
      <x:c r="L29" s="75"/>
    </x:row>
    <x:row r="30">
      <x:c r="A30" s="75"/>
      <x:c r="B30" s="75"/>
      <x:c r="C30" s="75"/>
      <x:c r="D30" s="75"/>
      <x:c r="E30" s="75"/>
      <x:c r="F30" s="75"/>
      <x:c r="G30" s="75"/>
      <x:c r="H30" s="75"/>
      <x:c r="I30" s="75"/>
      <x:c r="J30" s="75"/>
      <x:c r="K30" s="75"/>
      <x:c r="L30" s="75"/>
    </x:row>
    <x:row r="31">
      <x:c r="A31" s="75"/>
      <x:c r="B31" s="75"/>
      <x:c r="C31" s="75"/>
      <x:c r="D31" s="75"/>
      <x:c r="E31" s="75"/>
      <x:c r="F31" s="75"/>
      <x:c r="G31" s="75"/>
      <x:c r="H31" s="75"/>
      <x:c r="I31" s="75"/>
      <x:c r="J31" s="75"/>
      <x:c r="K31" s="75"/>
      <x:c r="L31" s="75"/>
    </x:row>
    <x:row r="32">
      <x:c r="A32" s="75"/>
      <x:c r="B32" s="75"/>
      <x:c r="C32" s="75"/>
      <x:c r="D32" s="75"/>
      <x:c r="E32" s="75"/>
      <x:c r="F32" s="75"/>
      <x:c r="G32" s="75"/>
      <x:c r="H32" s="75"/>
      <x:c r="I32" s="75"/>
      <x:c r="J32" s="75"/>
      <x:c r="K32" s="75"/>
      <x:c r="L32" s="75"/>
    </x:row>
    <x:row r="33">
      <x:c r="A33" s="75"/>
      <x:c r="B33" s="75"/>
      <x:c r="C33" s="75"/>
      <x:c r="D33" s="75"/>
      <x:c r="E33" s="75"/>
      <x:c r="F33" s="75"/>
      <x:c r="G33" s="75"/>
      <x:c r="H33" s="75"/>
      <x:c r="I33" s="75"/>
      <x:c r="J33" s="75"/>
      <x:c r="K33" s="75"/>
      <x:c r="L33" s="75"/>
    </x:row>
    <x:row r="34">
      <x:c r="A34" s="75"/>
      <x:c r="B34" s="75"/>
      <x:c r="C34" s="75"/>
      <x:c r="D34" s="75"/>
      <x:c r="E34" s="75"/>
      <x:c r="F34" s="75"/>
      <x:c r="G34" s="75"/>
      <x:c r="H34" s="75"/>
      <x:c r="I34" s="75"/>
      <x:c r="J34" s="75"/>
      <x:c r="K34" s="75"/>
      <x:c r="L34" s="75"/>
    </x:row>
    <x:row r="35">
      <x:c r="A35" s="75"/>
      <x:c r="B35" s="75"/>
      <x:c r="C35" s="75"/>
      <x:c r="D35" s="75"/>
      <x:c r="E35" s="75"/>
      <x:c r="F35" s="75"/>
      <x:c r="G35" s="75"/>
      <x:c r="H35" s="75"/>
      <x:c r="I35" s="75"/>
      <x:c r="J35" s="75"/>
      <x:c r="K35" s="75"/>
      <x:c r="L35" s="75"/>
    </x:row>
    <x:row r="36">
      <x:c r="A36" s="75"/>
      <x:c r="B36" s="75"/>
      <x:c r="C36" s="75"/>
      <x:c r="D36" s="75"/>
      <x:c r="E36" s="75"/>
      <x:c r="F36" s="75"/>
      <x:c r="G36" s="75"/>
      <x:c r="H36" s="75"/>
      <x:c r="I36" s="75"/>
      <x:c r="J36" s="75"/>
      <x:c r="K36" s="75"/>
      <x:c r="L36" s="75"/>
    </x:row>
    <x:row r="37">
      <x:c r="A37" s="75"/>
      <x:c r="B37" s="75"/>
      <x:c r="C37" s="75"/>
      <x:c r="D37" s="75"/>
      <x:c r="E37" s="75"/>
      <x:c r="F37" s="75"/>
      <x:c r="G37" s="75"/>
      <x:c r="H37" s="75"/>
      <x:c r="I37" s="75"/>
      <x:c r="J37" s="75"/>
      <x:c r="K37" s="75"/>
      <x:c r="L37" s="75"/>
    </x:row>
    <x:row r="38">
      <x:c r="A38" s="75"/>
      <x:c r="B38" s="75"/>
      <x:c r="C38" s="75"/>
      <x:c r="D38" s="75"/>
      <x:c r="E38" s="75"/>
      <x:c r="F38" s="75"/>
      <x:c r="G38" s="75"/>
      <x:c r="H38" s="75"/>
      <x:c r="I38" s="75"/>
      <x:c r="J38" s="75"/>
      <x:c r="K38" s="75"/>
      <x:c r="L38" s="75"/>
    </x:row>
    <x:row r="39">
      <x:c r="A39" s="75"/>
      <x:c r="B39" s="75"/>
      <x:c r="C39" s="75"/>
      <x:c r="D39" s="75"/>
      <x:c r="E39" s="75"/>
      <x:c r="F39" s="75"/>
      <x:c r="G39" s="75"/>
      <x:c r="H39" s="75"/>
      <x:c r="I39" s="75"/>
      <x:c r="J39" s="75"/>
      <x:c r="K39" s="75"/>
      <x:c r="L39" s="75"/>
    </x:row>
    <x:row r="40">
      <x:c r="A40" s="75"/>
      <x:c r="B40" s="75"/>
      <x:c r="C40" s="75"/>
      <x:c r="D40" s="75"/>
      <x:c r="E40" s="75"/>
      <x:c r="F40" s="75"/>
      <x:c r="G40" s="75"/>
      <x:c r="H40" s="75"/>
      <x:c r="I40" s="75"/>
      <x:c r="J40" s="75"/>
      <x:c r="K40" s="75"/>
      <x:c r="L40" s="75"/>
    </x:row>
    <x:row r="41">
      <x:c r="A41" s="75"/>
      <x:c r="B41" s="75"/>
      <x:c r="C41" s="75"/>
      <x:c r="D41" s="75"/>
      <x:c r="E41" s="75"/>
      <x:c r="F41" s="75"/>
      <x:c r="G41" s="75"/>
      <x:c r="H41" s="75"/>
      <x:c r="I41" s="75"/>
      <x:c r="J41" s="75"/>
      <x:c r="K41" s="75"/>
      <x:c r="L41" s="75"/>
    </x:row>
    <x:row r="42">
      <x:c r="A42" s="75"/>
      <x:c r="B42" s="75"/>
      <x:c r="C42" s="75"/>
      <x:c r="D42" s="75"/>
      <x:c r="E42" s="75"/>
      <x:c r="F42" s="75"/>
      <x:c r="G42" s="75"/>
      <x:c r="H42" s="75"/>
      <x:c r="I42" s="75"/>
      <x:c r="J42" s="75"/>
      <x:c r="K42" s="75"/>
      <x:c r="L42" s="75"/>
    </x:row>
    <x:row r="43">
      <x:c r="A43" s="75"/>
      <x:c r="B43" s="75"/>
      <x:c r="C43" s="75"/>
      <x:c r="D43" s="75"/>
      <x:c r="E43" s="75"/>
      <x:c r="F43" s="75"/>
      <x:c r="G43" s="75"/>
      <x:c r="H43" s="75"/>
      <x:c r="I43" s="75"/>
      <x:c r="J43" s="75"/>
      <x:c r="K43" s="75"/>
      <x:c r="L43" s="75"/>
    </x:row>
    <x:row r="44">
      <x:c r="A44" s="75"/>
      <x:c r="B44" s="75"/>
      <x:c r="C44" s="75"/>
      <x:c r="D44" s="75"/>
      <x:c r="E44" s="75"/>
      <x:c r="F44" s="75"/>
      <x:c r="G44" s="75"/>
      <x:c r="H44" s="75"/>
      <x:c r="I44" s="75"/>
      <x:c r="J44" s="75"/>
      <x:c r="K44" s="75"/>
      <x:c r="L44" s="75"/>
    </x:row>
    <x:row r="45">
      <x:c r="A45" s="75"/>
      <x:c r="B45" s="75"/>
      <x:c r="C45" s="75"/>
      <x:c r="D45" s="75"/>
      <x:c r="E45" s="75"/>
      <x:c r="F45" s="75"/>
      <x:c r="G45" s="75"/>
      <x:c r="H45" s="75"/>
      <x:c r="I45" s="75"/>
      <x:c r="J45" s="75"/>
      <x:c r="K45" s="75"/>
      <x:c r="L45" s="75"/>
    </x:row>
    <x:row r="46">
      <x:c r="A46" s="75"/>
      <x:c r="B46" s="75"/>
      <x:c r="C46" s="75"/>
      <x:c r="D46" s="75"/>
      <x:c r="E46" s="75"/>
      <x:c r="F46" s="75"/>
      <x:c r="G46" s="75"/>
      <x:c r="H46" s="75"/>
      <x:c r="I46" s="75"/>
      <x:c r="J46" s="75"/>
      <x:c r="K46" s="75"/>
      <x:c r="L46" s="75"/>
    </x:row>
    <x:row r="47">
      <x:c r="A47" s="75"/>
      <x:c r="B47" s="75"/>
      <x:c r="C47" s="75"/>
      <x:c r="D47" s="75"/>
      <x:c r="E47" s="75"/>
      <x:c r="F47" s="75"/>
      <x:c r="G47" s="75"/>
      <x:c r="H47" s="75"/>
      <x:c r="I47" s="75"/>
      <x:c r="J47" s="75"/>
      <x:c r="K47" s="75"/>
      <x:c r="L47" s="75"/>
    </x:row>
    <x:row r="48">
      <x:c r="A48" s="75"/>
      <x:c r="B48" s="75"/>
      <x:c r="C48" s="75"/>
      <x:c r="D48" s="75"/>
      <x:c r="E48" s="75"/>
      <x:c r="F48" s="75"/>
      <x:c r="G48" s="75"/>
      <x:c r="H48" s="75"/>
      <x:c r="I48" s="75"/>
      <x:c r="J48" s="75"/>
      <x:c r="K48" s="75"/>
      <x:c r="L48" s="75"/>
    </x:row>
  </x:sheetData>
  <x:mergeCells>
    <x:mergeCell ref="A1:L1"/>
    <x:mergeCell ref="A2:L2"/>
    <x:mergeCell ref="A8:L8"/>
  </x:mergeCells>
  <x:pageMargins left="0.7" right="0.7" top="0.75" bottom="0.75" header="0.3" footer="0.3"/>
  <x:drawing xmlns:r="http://schemas.openxmlformats.org/officeDocument/2006/relationships" r:id="Rebfe90644f5b402f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6" hidden="0" customWidth="1"/>
    <x:col min="3" max="3" width="26" hidden="0" customWidth="1"/>
    <x:col min="4" max="4" width="10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8" hidden="0" customWidth="1"/>
  </x:cols>
  <x:sheetData>
    <x:row r="1">
      <x:c r="A1" s="4" t="str">
        <x:v>Rank</x:v>
      </x:c>
      <x:c r="B1" s="4" t="str">
        <x:v>Sheet</x:v>
      </x:c>
      <x:c r="C1" s="4" t="str">
        <x:v>Machine / Section</x:v>
      </x:c>
      <x:c r="D1" s="4" t="str">
        <x:v>Products</x:v>
      </x:c>
      <x:c r="E1" s="4" t="str">
        <x:v>Monthly Demand</x:v>
      </x:c>
      <x:c r="F1" s="4" t="str">
        <x:v>Daily Capacity 10h</x:v>
      </x:c>
      <x:c r="G1" s="4" t="str">
        <x:v>Monthly Capacity 26d</x:v>
      </x:c>
      <x:c r="H1" s="4" t="str">
        <x:v>Required Shifts</x:v>
      </x:c>
      <x:c r="I1" s="4" t="str">
        <x:v>Current Equipment</x:v>
      </x:c>
      <x:c r="J1" s="4" t="str">
        <x:v>Available Shifts</x:v>
      </x:c>
      <x:c r="K1" s="4" t="str">
        <x:v>Utilization</x:v>
      </x:c>
      <x:c r="L1" s="4" t="str">
        <x:v>Additional Shifts Needed</x:v>
      </x:c>
      <x:c r="M1" s="4" t="str">
        <x:v>Machines Required</x:v>
      </x:c>
      <x:c r="N1" s="4" t="str">
        <x:v>Machine Gap</x:v>
      </x:c>
      <x:c r="O1" s="4" t="str">
        <x:v>Weighted OEE</x:v>
      </x:c>
      <x:c r="P1" s="4" t="str">
        <x:v>Status</x:v>
      </x:c>
    </x:row>
    <x:row r="2">
      <x:c r="A2" s="5" t="n">
        <x:v>1</x:v>
      </x:c>
      <x:c r="B2" s="6" t="str">
        <x:v>CNC一共 6台</x:v>
      </x:c>
      <x:c r="C2" s="6" t="str">
        <x:v>3-Axis CNC</x:v>
      </x:c>
      <x:c r="D2" s="6" t="n">
        <x:v>10</x:v>
      </x:c>
      <x:c r="E2" s="11" t="n">
        <x:v>124070</x:v>
      </x:c>
      <x:c r="F2" s="11" t="n">
        <x:v>2700</x:v>
      </x:c>
      <x:c r="G2" s="11" t="n">
        <x:f>IFERROR(F2*26*I2,0)</x:f>
        <x:v>70200</x:v>
      </x:c>
      <x:c r="H2" s="11" t="n">
        <x:v>208.34</x:v>
      </x:c>
      <x:c r="I2" s="11" t="n">
        <x:v>1</x:v>
      </x:c>
      <x:c r="J2" s="11" t="n">
        <x:f>IFERROR(26*I2,0)</x:f>
        <x:v>26</x:v>
      </x:c>
      <x:c r="K2" s="13" t="n">
        <x:f>IFERROR(H2/J2,0)</x:f>
        <x:v>8.013076923076923</x:v>
      </x:c>
      <x:c r="L2" s="11" t="n">
        <x:f>MAX(0,H2-J2)</x:f>
        <x:v>182.34</x:v>
      </x:c>
      <x:c r="M2" s="11" t="n">
        <x:f>CEILING(IFERROR(H2/26,0),1)</x:f>
        <x:v>9</x:v>
      </x:c>
      <x:c r="N2" s="11" t="n">
        <x:f>MAX(0,M2-I2)</x:f>
        <x:v>8</x:v>
      </x:c>
      <x:c r="O2" s="13" t="n">
        <x:v>0.75</x:v>
      </x:c>
      <x:c r="P2" s="7" t="str">
        <x:f>IF(K2&gt;1,"Over capacity",IF(K2&gt;=0.85,"High load",IF(K2&gt;=0.5,"Normal","Low load")))</x:f>
        <x:v>Over capacity</x:v>
      </x:c>
    </x:row>
    <x:row r="3">
      <x:c r="A3" s="8" t="n">
        <x:v>2</x:v>
      </x:c>
      <x:c r="B3" s="9" t="str">
        <x:v>折弯 BENDING</x:v>
      </x:c>
      <x:c r="C3" s="9" t="str">
        <x:v>折弯</x:v>
      </x:c>
      <x:c r="D3" s="9" t="n">
        <x:v>12</x:v>
      </x:c>
      <x:c r="E3" s="12" t="n">
        <x:v>28000</x:v>
      </x:c>
      <x:c r="F3" s="12" t="n">
        <x:v>900</x:v>
      </x:c>
      <x:c r="G3" s="12" t="n">
        <x:f>IFERROR(F3*26*I3,0)</x:f>
        <x:v>23400</x:v>
      </x:c>
      <x:c r="H3" s="12" t="n">
        <x:v>75</x:v>
      </x:c>
      <x:c r="I3" s="12" t="n">
        <x:v>1</x:v>
      </x:c>
      <x:c r="J3" s="12" t="n">
        <x:f>IFERROR(26*I3,0)</x:f>
        <x:v>26</x:v>
      </x:c>
      <x:c r="K3" s="14" t="n">
        <x:f>IFERROR(H3/J3,0)</x:f>
        <x:v>2.8846153846153846</x:v>
      </x:c>
      <x:c r="L3" s="12" t="n">
        <x:f>MAX(0,H3-J3)</x:f>
        <x:v>49</x:v>
      </x:c>
      <x:c r="M3" s="12" t="n">
        <x:f>CEILING(IFERROR(H3/26,0),1)</x:f>
        <x:v>3</x:v>
      </x:c>
      <x:c r="N3" s="12" t="n">
        <x:f>MAX(0,M3-I3)</x:f>
        <x:v>2</x:v>
      </x:c>
      <x:c r="O3" s="14" t="n">
        <x:v>0.75</x:v>
      </x:c>
      <x:c r="P3" s="10" t="str">
        <x:f>IF(K3&gt;1,"Over capacity",IF(K3&gt;=0.85,"High load",IF(K3&gt;=0.5,"Normal","Low load")))</x:f>
        <x:v>Over capacity</x:v>
      </x:c>
    </x:row>
    <x:row r="4">
      <x:c r="A4" s="8" t="n">
        <x:v>3</x:v>
      </x:c>
      <x:c r="B4" s="9" t="str">
        <x:v>TAP产能分析</x:v>
      </x:c>
      <x:c r="C4" s="9" t="str">
        <x:v>TAP产能分析</x:v>
      </x:c>
      <x:c r="D4" s="9" t="n">
        <x:v>5</x:v>
      </x:c>
      <x:c r="E4" s="12" t="n">
        <x:v>623332</x:v>
      </x:c>
      <x:c r="F4" s="12" t="n">
        <x:v>10000</x:v>
      </x:c>
      <x:c r="G4" s="12" t="n">
        <x:f>IFERROR(F4*26*I4,0)</x:f>
        <x:v>260000</x:v>
      </x:c>
      <x:c r="H4" s="12" t="n">
        <x:v>72.37</x:v>
      </x:c>
      <x:c r="I4" s="12" t="n">
        <x:v>1</x:v>
      </x:c>
      <x:c r="J4" s="12" t="n">
        <x:f>IFERROR(26*I4,0)</x:f>
        <x:v>26</x:v>
      </x:c>
      <x:c r="K4" s="14" t="n">
        <x:f>IFERROR(H4/J4,0)</x:f>
        <x:v>2.7834615384615384</x:v>
      </x:c>
      <x:c r="L4" s="12" t="n">
        <x:f>MAX(0,H4-J4)</x:f>
        <x:v>46.370000000000005</x:v>
      </x:c>
      <x:c r="M4" s="12" t="n">
        <x:f>CEILING(IFERROR(H4/26,0),1)</x:f>
        <x:v>3</x:v>
      </x:c>
      <x:c r="N4" s="12" t="n">
        <x:f>MAX(0,M4-I4)</x:f>
        <x:v>2</x:v>
      </x:c>
      <x:c r="O4" s="14"/>
      <x:c r="P4" s="10" t="str">
        <x:f>IF(K4&gt;1,"Over capacity",IF(K4&gt;=0.85,"High load",IF(K4&gt;=0.5,"Normal","Low load")))</x:f>
        <x:v>Over capacity</x:v>
      </x:c>
    </x:row>
    <x:row r="5">
      <x:c r="A5" s="8" t="n">
        <x:v>4</x:v>
      </x:c>
      <x:c r="B5" s="9" t="str">
        <x:v>200T单冲11#</x:v>
      </x:c>
      <x:c r="C5" s="9" t="str">
        <x:v>200 T</x:v>
      </x:c>
      <x:c r="D5" s="9" t="n">
        <x:v>22</x:v>
      </x:c>
      <x:c r="E5" s="12" t="n">
        <x:v>92300.52</x:v>
      </x:c>
      <x:c r="F5" s="12" t="n">
        <x:v>6720</x:v>
      </x:c>
      <x:c r="G5" s="12" t="n">
        <x:f>IFERROR(F5*26*I5,0)</x:f>
        <x:v>174720</x:v>
      </x:c>
      <x:c r="H5" s="12" t="n">
        <x:v>70.73</x:v>
      </x:c>
      <x:c r="I5" s="12" t="n">
        <x:v>1</x:v>
      </x:c>
      <x:c r="J5" s="12" t="n">
        <x:f>IFERROR(26*I5,0)</x:f>
        <x:v>26</x:v>
      </x:c>
      <x:c r="K5" s="14" t="n">
        <x:f>IFERROR(H5/J5,0)</x:f>
        <x:v>2.7203846153846154</x:v>
      </x:c>
      <x:c r="L5" s="12" t="n">
        <x:f>MAX(0,H5-J5)</x:f>
        <x:v>44.730000000000004</x:v>
      </x:c>
      <x:c r="M5" s="12" t="n">
        <x:f>CEILING(IFERROR(H5/26,0),1)</x:f>
        <x:v>3</x:v>
      </x:c>
      <x:c r="N5" s="12" t="n">
        <x:f>MAX(0,M5-I5)</x:f>
        <x:v>2</x:v>
      </x:c>
      <x:c r="O5" s="14" t="n">
        <x:v>0.665</x:v>
      </x:c>
      <x:c r="P5" s="10" t="str">
        <x:f>IF(K5&gt;1,"Over capacity",IF(K5&gt;=0.85,"High load",IF(K5&gt;=0.5,"Normal","Low load")))</x:f>
        <x:v>Over capacity</x:v>
      </x:c>
    </x:row>
    <x:row r="6">
      <x:c r="A6" s="8" t="n">
        <x:v>5</x:v>
      </x:c>
      <x:c r="B6" s="9" t="str">
        <x:v>260T 单冲 10#</x:v>
      </x:c>
      <x:c r="C6" s="9" t="str">
        <x:v>设备 260T</x:v>
      </x:c>
      <x:c r="D6" s="9" t="n">
        <x:v>25</x:v>
      </x:c>
      <x:c r="E6" s="12" t="n">
        <x:v>75226.7</x:v>
      </x:c>
      <x:c r="F6" s="12" t="n">
        <x:v>2040</x:v>
      </x:c>
      <x:c r="G6" s="12" t="n">
        <x:f>IFERROR(F6*26*I6,0)</x:f>
        <x:v>53040</x:v>
      </x:c>
      <x:c r="H6" s="12" t="n">
        <x:v>62.15</x:v>
      </x:c>
      <x:c r="I6" s="12" t="n">
        <x:v>1</x:v>
      </x:c>
      <x:c r="J6" s="12" t="n">
        <x:f>IFERROR(26*I6,0)</x:f>
        <x:v>26</x:v>
      </x:c>
      <x:c r="K6" s="14" t="n">
        <x:f>IFERROR(H6/J6,0)</x:f>
        <x:v>2.3903846153846153</x:v>
      </x:c>
      <x:c r="L6" s="12" t="n">
        <x:f>MAX(0,H6-J6)</x:f>
        <x:v>36.15</x:v>
      </x:c>
      <x:c r="M6" s="12" t="n">
        <x:f>CEILING(IFERROR(H6/26,0),1)</x:f>
        <x:v>3</x:v>
      </x:c>
      <x:c r="N6" s="12" t="n">
        <x:f>MAX(0,M6-I6)</x:f>
        <x:v>2</x:v>
      </x:c>
      <x:c r="O6" s="14" t="n">
        <x:v>0.85</x:v>
      </x:c>
      <x:c r="P6" s="10" t="str">
        <x:f>IF(K6&gt;1,"Over capacity",IF(K6&gt;=0.85,"High load",IF(K6&gt;=0.5,"Normal","Low load")))</x:f>
        <x:v>Over capacity</x:v>
      </x:c>
    </x:row>
    <x:row r="7">
      <x:c r="A7" s="8" t="n">
        <x:v>6</x:v>
      </x:c>
      <x:c r="B7" s="9" t="str">
        <x:v>CNC一共 6台</x:v>
      </x:c>
      <x:c r="C7" s="9" t="str">
        <x:v>4-Axis CNC</x:v>
      </x:c>
      <x:c r="D7" s="9" t="n">
        <x:v>2</x:v>
      </x:c>
      <x:c r="E7" s="12" t="n">
        <x:v>6500</x:v>
      </x:c>
      <x:c r="F7" s="12" t="n">
        <x:v>150</x:v>
      </x:c>
      <x:c r="G7" s="12" t="n">
        <x:f>IFERROR(F7*26*I7,0)</x:f>
        <x:v>3900</x:v>
      </x:c>
      <x:c r="H7" s="12" t="n">
        <x:v>61.67</x:v>
      </x:c>
      <x:c r="I7" s="12" t="n">
        <x:v>1</x:v>
      </x:c>
      <x:c r="J7" s="12" t="n">
        <x:f>IFERROR(26*I7,0)</x:f>
        <x:v>26</x:v>
      </x:c>
      <x:c r="K7" s="14" t="n">
        <x:f>IFERROR(H7/J7,0)</x:f>
        <x:v>2.371923076923077</x:v>
      </x:c>
      <x:c r="L7" s="12" t="n">
        <x:f>MAX(0,H7-J7)</x:f>
        <x:v>35.67</x:v>
      </x:c>
      <x:c r="M7" s="12" t="n">
        <x:f>CEILING(IFERROR(H7/26,0),1)</x:f>
        <x:v>3</x:v>
      </x:c>
      <x:c r="N7" s="12" t="n">
        <x:f>MAX(0,M7-I7)</x:f>
        <x:v>2</x:v>
      </x:c>
      <x:c r="O7" s="14" t="n">
        <x:v>0.75</x:v>
      </x:c>
      <x:c r="P7" s="10" t="str">
        <x:f>IF(K7&gt;1,"Over capacity",IF(K7&gt;=0.85,"High load",IF(K7&gt;=0.5,"Normal","Low load")))</x:f>
        <x:v>Over capacity</x:v>
      </x:c>
    </x:row>
    <x:row r="8">
      <x:c r="A8" s="8" t="n">
        <x:v>7</x:v>
      </x:c>
      <x:c r="B8" s="9" t="str">
        <x:v>压铸机 350T</x:v>
      </x:c>
      <x:c r="C8" s="9" t="str">
        <x:v>CNC 压铸机</x:v>
      </x:c>
      <x:c r="D8" s="9" t="n">
        <x:v>3</x:v>
      </x:c>
      <x:c r="E8" s="12" t="n">
        <x:v>84481</x:v>
      </x:c>
      <x:c r="F8" s="12" t="n">
        <x:v>3600</x:v>
      </x:c>
      <x:c r="G8" s="12" t="n">
        <x:f>IFERROR(F8*26*I8,0)</x:f>
        <x:v>93600</x:v>
      </x:c>
      <x:c r="H8" s="12" t="n">
        <x:v>45.57</x:v>
      </x:c>
      <x:c r="I8" s="12" t="n">
        <x:v>1</x:v>
      </x:c>
      <x:c r="J8" s="12" t="n">
        <x:f>IFERROR(26*I8,0)</x:f>
        <x:v>26</x:v>
      </x:c>
      <x:c r="K8" s="14" t="n">
        <x:f>IFERROR(H8/J8,0)</x:f>
        <x:v>1.7526923076923078</x:v>
      </x:c>
      <x:c r="L8" s="12" t="n">
        <x:f>MAX(0,H8-J8)</x:f>
        <x:v>19.57</x:v>
      </x:c>
      <x:c r="M8" s="12" t="n">
        <x:f>CEILING(IFERROR(H8/26,0),1)</x:f>
        <x:v>2</x:v>
      </x:c>
      <x:c r="N8" s="12" t="n">
        <x:f>MAX(0,M8-I8)</x:f>
        <x:v>1</x:v>
      </x:c>
      <x:c r="O8" s="14" t="n">
        <x:v>0.7775</x:v>
      </x:c>
      <x:c r="P8" s="10" t="str">
        <x:f>IF(K8&gt;1,"Over capacity",IF(K8&gt;=0.85,"High load",IF(K8&gt;=0.5,"Normal","Low load")))</x:f>
        <x:v>Over capacity</x:v>
      </x:c>
    </x:row>
    <x:row r="9">
      <x:c r="A9" s="8" t="n">
        <x:v>8</x:v>
      </x:c>
      <x:c r="B9" s="9" t="str">
        <x:v>150T产能6#</x:v>
      </x:c>
      <x:c r="C9" s="9" t="str">
        <x:v>150T产能6#</x:v>
      </x:c>
      <x:c r="D9" s="9" t="n">
        <x:v>2</x:v>
      </x:c>
      <x:c r="E9" s="12" t="n">
        <x:v>221666</x:v>
      </x:c>
      <x:c r="F9" s="12" t="n">
        <x:v>5000</x:v>
      </x:c>
      <x:c r="G9" s="12" t="n">
        <x:f>IFERROR(F9*26*I9,0)</x:f>
        <x:v>130000</x:v>
      </x:c>
      <x:c r="H9" s="12" t="n">
        <x:v>44.33</x:v>
      </x:c>
      <x:c r="I9" s="12" t="n">
        <x:v>1</x:v>
      </x:c>
      <x:c r="J9" s="12" t="n">
        <x:f>IFERROR(26*I9,0)</x:f>
        <x:v>26</x:v>
      </x:c>
      <x:c r="K9" s="14" t="n">
        <x:f>IFERROR(H9/J9,0)</x:f>
        <x:v>1.7049999999999998</x:v>
      </x:c>
      <x:c r="L9" s="12" t="n">
        <x:f>MAX(0,H9-J9)</x:f>
        <x:v>18.33</x:v>
      </x:c>
      <x:c r="M9" s="12" t="n">
        <x:f>CEILING(IFERROR(H9/26,0),1)</x:f>
        <x:v>2</x:v>
      </x:c>
      <x:c r="N9" s="12" t="n">
        <x:f>MAX(0,M9-I9)</x:f>
        <x:v>1</x:v>
      </x:c>
      <x:c r="O9" s="14"/>
      <x:c r="P9" s="10" t="str">
        <x:f>IF(K9&gt;1,"Over capacity",IF(K9&gt;=0.85,"High load",IF(K9&gt;=0.5,"Normal","Low load")))</x:f>
        <x:v>Over capacity</x:v>
      </x:c>
    </x:row>
    <x:row r="10">
      <x:c r="A10" s="8" t="n">
        <x:v>9</x:v>
      </x:c>
      <x:c r="B10" s="9" t="str">
        <x:v>Robot welding</x:v>
      </x:c>
      <x:c r="C10" s="9" t="str">
        <x:v>M/C :RW1</x:v>
      </x:c>
      <x:c r="D10" s="9" t="n">
        <x:v>4</x:v>
      </x:c>
      <x:c r="E10" s="12" t="n">
        <x:v>27800</x:v>
      </x:c>
      <x:c r="F10" s="12" t="n">
        <x:v>4896</x:v>
      </x:c>
      <x:c r="G10" s="12" t="n">
        <x:f>IFERROR(F10*26*I10,0)</x:f>
        <x:v>127296</x:v>
      </x:c>
      <x:c r="H10" s="12" t="n">
        <x:v>40.81</x:v>
      </x:c>
      <x:c r="I10" s="12" t="n">
        <x:v>1</x:v>
      </x:c>
      <x:c r="J10" s="12" t="n">
        <x:f>IFERROR(26*I10,0)</x:f>
        <x:v>26</x:v>
      </x:c>
      <x:c r="K10" s="14" t="n">
        <x:f>IFERROR(H10/J10,0)</x:f>
        <x:v>1.5696153846153846</x:v>
      </x:c>
      <x:c r="L10" s="12" t="n">
        <x:f>MAX(0,H10-J10)</x:f>
        <x:v>14.810000000000002</x:v>
      </x:c>
      <x:c r="M10" s="12" t="n">
        <x:f>CEILING(IFERROR(H10/26,0),1)</x:f>
        <x:v>2</x:v>
      </x:c>
      <x:c r="N10" s="12" t="n">
        <x:f>MAX(0,M10-I10)</x:f>
        <x:v>1</x:v>
      </x:c>
      <x:c r="O10" s="14" t="n">
        <x:v>0.85</x:v>
      </x:c>
      <x:c r="P10" s="10" t="str">
        <x:f>IF(K10&gt;1,"Over capacity",IF(K10&gt;=0.85,"High load",IF(K10&gt;=0.5,"Normal","Low load")))</x:f>
        <x:v>Over capacity</x:v>
      </x:c>
    </x:row>
    <x:row r="11">
      <x:c r="A11" s="8" t="n">
        <x:v>10</x:v>
      </x:c>
      <x:c r="B11" s="9" t="str">
        <x:v>110T 产能单冲9#</x:v>
      </x:c>
      <x:c r="C11" s="9" t="str">
        <x:v>110T</x:v>
      </x:c>
      <x:c r="D11" s="9" t="n">
        <x:v>10</x:v>
      </x:c>
      <x:c r="E11" s="12" t="n">
        <x:v>75400</x:v>
      </x:c>
      <x:c r="F11" s="12" t="n">
        <x:v>2100</x:v>
      </x:c>
      <x:c r="G11" s="12" t="n">
        <x:f>IFERROR(F11*26*I11,0)</x:f>
        <x:v>54600</x:v>
      </x:c>
      <x:c r="H11" s="12" t="n">
        <x:v>38.76</x:v>
      </x:c>
      <x:c r="I11" s="12" t="n">
        <x:v>1</x:v>
      </x:c>
      <x:c r="J11" s="12" t="n">
        <x:f>IFERROR(26*I11,0)</x:f>
        <x:v>26</x:v>
      </x:c>
      <x:c r="K11" s="14" t="n">
        <x:f>IFERROR(H11/J11,0)</x:f>
        <x:v>1.4907692307692306</x:v>
      </x:c>
      <x:c r="L11" s="12" t="n">
        <x:f>MAX(0,H11-J11)</x:f>
        <x:v>12.759999999999998</x:v>
      </x:c>
      <x:c r="M11" s="12" t="n">
        <x:f>CEILING(IFERROR(H11/26,0),1)</x:f>
        <x:v>2</x:v>
      </x:c>
      <x:c r="N11" s="12" t="n">
        <x:f>MAX(0,M11-I11)</x:f>
        <x:v>1</x:v>
      </x:c>
      <x:c r="O11" s="14" t="n">
        <x:v>0.7</x:v>
      </x:c>
      <x:c r="P11" s="10" t="str">
        <x:f>IF(K11&gt;1,"Over capacity",IF(K11&gt;=0.85,"High load",IF(K11&gt;=0.5,"Normal","Low load")))</x:f>
        <x:v>Over capacity</x:v>
      </x:c>
    </x:row>
    <x:row r="12">
      <x:c r="A12" s="8" t="n">
        <x:v>11</x:v>
      </x:c>
      <x:c r="B12" s="9" t="str">
        <x:v>300T 产能分析 7#</x:v>
      </x:c>
      <x:c r="C12" s="9" t="str">
        <x:v>300T</x:v>
      </x:c>
      <x:c r="D12" s="9" t="n">
        <x:v>25</x:v>
      </x:c>
      <x:c r="E12" s="12" t="n">
        <x:v>459332</x:v>
      </x:c>
      <x:c r="F12" s="12" t="n">
        <x:v>21000</x:v>
      </x:c>
      <x:c r="G12" s="12" t="n">
        <x:f>IFERROR(F12*26*I12,0)</x:f>
        <x:v>546000</x:v>
      </x:c>
      <x:c r="H12" s="12" t="n">
        <x:v>38.66</x:v>
      </x:c>
      <x:c r="I12" s="12" t="n">
        <x:v>1</x:v>
      </x:c>
      <x:c r="J12" s="12" t="n">
        <x:f>IFERROR(26*I12,0)</x:f>
        <x:v>26</x:v>
      </x:c>
      <x:c r="K12" s="14" t="n">
        <x:f>IFERROR(H12/J12,0)</x:f>
        <x:v>1.4869230769230768</x:v>
      </x:c>
      <x:c r="L12" s="12" t="n">
        <x:f>MAX(0,H12-J12)</x:f>
        <x:v>12.659999999999997</x:v>
      </x:c>
      <x:c r="M12" s="12" t="n">
        <x:f>CEILING(IFERROR(H12/26,0),1)</x:f>
        <x:v>2</x:v>
      </x:c>
      <x:c r="N12" s="12" t="n">
        <x:f>MAX(0,M12-I12)</x:f>
        <x:v>1</x:v>
      </x:c>
      <x:c r="O12" s="14" t="n">
        <x:v>0.7</x:v>
      </x:c>
      <x:c r="P12" s="10" t="str">
        <x:f>IF(K12&gt;1,"Over capacity",IF(K12&gt;=0.85,"High load",IF(K12&gt;=0.5,"Normal","Low load")))</x:f>
        <x:v>Over capacity</x:v>
      </x:c>
    </x:row>
    <x:row r="13">
      <x:c r="A13" s="8" t="n">
        <x:v>12</x:v>
      </x:c>
      <x:c r="B13" s="9" t="str">
        <x:v>Robot welding</x:v>
      </x:c>
      <x:c r="C13" s="9" t="str">
        <x:v>M/C :RW2</x:v>
      </x:c>
      <x:c r="D13" s="9" t="n">
        <x:v>6</x:v>
      </x:c>
      <x:c r="E13" s="12" t="n">
        <x:v>13500</x:v>
      </x:c>
      <x:c r="F13" s="12" t="n">
        <x:v>775.2</x:v>
      </x:c>
      <x:c r="G13" s="12" t="n">
        <x:f>IFERROR(F13*26*I13,0)</x:f>
        <x:v>20155.2</x:v>
      </x:c>
      <x:c r="H13" s="12" t="n">
        <x:v>36.35</x:v>
      </x:c>
      <x:c r="I13" s="12" t="n">
        <x:v>1</x:v>
      </x:c>
      <x:c r="J13" s="12" t="n">
        <x:f>IFERROR(26*I13,0)</x:f>
        <x:v>26</x:v>
      </x:c>
      <x:c r="K13" s="14" t="n">
        <x:f>IFERROR(H13/J13,0)</x:f>
        <x:v>1.3980769230769232</x:v>
      </x:c>
      <x:c r="L13" s="12" t="n">
        <x:f>MAX(0,H13-J13)</x:f>
        <x:v>10.350000000000001</x:v>
      </x:c>
      <x:c r="M13" s="12" t="n">
        <x:f>CEILING(IFERROR(H13/26,0),1)</x:f>
        <x:v>2</x:v>
      </x:c>
      <x:c r="N13" s="12" t="n">
        <x:f>MAX(0,M13-I13)</x:f>
        <x:v>1</x:v>
      </x:c>
      <x:c r="O13" s="14" t="n">
        <x:v>0.85</x:v>
      </x:c>
      <x:c r="P13" s="10" t="str">
        <x:f>IF(K13&gt;1,"Over capacity",IF(K13&gt;=0.85,"High load",IF(K13&gt;=0.5,"Normal","Low load")))</x:f>
        <x:v>Over capacity</x:v>
      </x:c>
    </x:row>
    <x:row r="14">
      <x:c r="A14" s="8" t="n">
        <x:v>13</x:v>
      </x:c>
      <x:c r="B14" s="9" t="str">
        <x:v>110T产能5#</x:v>
      </x:c>
      <x:c r="C14" s="9" t="str">
        <x:v>110T 按10H</x:v>
      </x:c>
      <x:c r="D14" s="9" t="n">
        <x:v>21</x:v>
      </x:c>
      <x:c r="E14" s="12" t="n">
        <x:v>5851821.5</x:v>
      </x:c>
      <x:c r="F14" s="12" t="n">
        <x:v>129600</x:v>
      </x:c>
      <x:c r="G14" s="12" t="n">
        <x:f>IFERROR(F14*26*I14,0)</x:f>
        <x:v>6739200</x:v>
      </x:c>
      <x:c r="H14" s="12" t="n">
        <x:v>72.13</x:v>
      </x:c>
      <x:c r="I14" s="12" t="n">
        <x:v>2</x:v>
      </x:c>
      <x:c r="J14" s="12" t="n">
        <x:f>IFERROR(26*I14,0)</x:f>
        <x:v>52</x:v>
      </x:c>
      <x:c r="K14" s="14" t="n">
        <x:f>IFERROR(H14/J14,0)</x:f>
        <x:v>1.3871153846153845</x:v>
      </x:c>
      <x:c r="L14" s="12" t="n">
        <x:f>MAX(0,H14-J14)</x:f>
        <x:v>20.129999999999995</x:v>
      </x:c>
      <x:c r="M14" s="12" t="n">
        <x:f>CEILING(IFERROR(H14/26,0),1)</x:f>
        <x:v>3</x:v>
      </x:c>
      <x:c r="N14" s="12" t="n">
        <x:f>MAX(0,M14-I14)</x:f>
        <x:v>1</x:v>
      </x:c>
      <x:c r="O14" s="14" t="n">
        <x:v>0.7025</x:v>
      </x:c>
      <x:c r="P14" s="10" t="str">
        <x:f>IF(K14&gt;1,"Over capacity",IF(K14&gt;=0.85,"High load",IF(K14&gt;=0.5,"Normal","Low load")))</x:f>
        <x:v>Over capacity</x:v>
      </x:c>
    </x:row>
    <x:row r="15">
      <x:c r="A15" s="8" t="n">
        <x:v>14</x:v>
      </x:c>
      <x:c r="B15" s="9" t="str">
        <x:v>MC Spot welding</x:v>
      </x:c>
      <x:c r="C15" s="9" t="str">
        <x:v>M/C:SW3</x:v>
      </x:c>
      <x:c r="D15" s="9" t="n">
        <x:v>4</x:v>
      </x:c>
      <x:c r="E15" s="12" t="n">
        <x:v>30000</x:v>
      </x:c>
      <x:c r="F15" s="12" t="n">
        <x:v>1122</x:v>
      </x:c>
      <x:c r="G15" s="12" t="n">
        <x:f>IFERROR(F15*26*I15,0)</x:f>
        <x:v>29172</x:v>
      </x:c>
      <x:c r="H15" s="12" t="n">
        <x:v>35.03</x:v>
      </x:c>
      <x:c r="I15" s="12" t="n">
        <x:v>1</x:v>
      </x:c>
      <x:c r="J15" s="12" t="n">
        <x:f>IFERROR(26*I15,0)</x:f>
        <x:v>26</x:v>
      </x:c>
      <x:c r="K15" s="14" t="n">
        <x:f>IFERROR(H15/J15,0)</x:f>
        <x:v>1.3473076923076923</x:v>
      </x:c>
      <x:c r="L15" s="12" t="n">
        <x:f>MAX(0,H15-J15)</x:f>
        <x:v>9.030000000000001</x:v>
      </x:c>
      <x:c r="M15" s="12" t="n">
        <x:f>CEILING(IFERROR(H15/26,0),1)</x:f>
        <x:v>2</x:v>
      </x:c>
      <x:c r="N15" s="12" t="n">
        <x:f>MAX(0,M15-I15)</x:f>
        <x:v>1</x:v>
      </x:c>
      <x:c r="O15" s="14" t="n">
        <x:v>0.85</x:v>
      </x:c>
      <x:c r="P15" s="10" t="str">
        <x:f>IF(K15&gt;1,"Over capacity",IF(K15&gt;=0.85,"High load",IF(K15&gt;=0.5,"Normal","Low load")))</x:f>
        <x:v>Over capacity</x:v>
      </x:c>
    </x:row>
    <x:row r="16">
      <x:c r="A16" s="8" t="n">
        <x:v>15</x:v>
      </x:c>
      <x:c r="B16" s="9" t="str">
        <x:v>Rivet</x:v>
      </x:c>
      <x:c r="C16" s="9" t="str">
        <x:v>M/C :RV2</x:v>
      </x:c>
      <x:c r="D16" s="9" t="n">
        <x:v>6</x:v>
      </x:c>
      <x:c r="E16" s="12" t="n">
        <x:v>55000</x:v>
      </x:c>
      <x:c r="F16" s="12" t="n">
        <x:v>2550</x:v>
      </x:c>
      <x:c r="G16" s="12" t="n">
        <x:f>IFERROR(F16*26*I16,0)</x:f>
        <x:v>66300</x:v>
      </x:c>
      <x:c r="H16" s="12" t="n">
        <x:v>31.37</x:v>
      </x:c>
      <x:c r="I16" s="12" t="n">
        <x:v>1</x:v>
      </x:c>
      <x:c r="J16" s="12" t="n">
        <x:f>IFERROR(26*I16,0)</x:f>
        <x:v>26</x:v>
      </x:c>
      <x:c r="K16" s="14" t="n">
        <x:f>IFERROR(H16/J16,0)</x:f>
        <x:v>1.2065384615384616</x:v>
      </x:c>
      <x:c r="L16" s="12" t="n">
        <x:f>MAX(0,H16-J16)</x:f>
        <x:v>5.370000000000001</x:v>
      </x:c>
      <x:c r="M16" s="12" t="n">
        <x:f>CEILING(IFERROR(H16/26,0),1)</x:f>
        <x:v>2</x:v>
      </x:c>
      <x:c r="N16" s="12" t="n">
        <x:f>MAX(0,M16-I16)</x:f>
        <x:v>1</x:v>
      </x:c>
      <x:c r="O16" s="14" t="n">
        <x:v>0.85</x:v>
      </x:c>
      <x:c r="P16" s="10" t="str">
        <x:f>IF(K16&gt;1,"Over capacity",IF(K16&gt;=0.85,"High load",IF(K16&gt;=0.5,"Normal","Low load")))</x:f>
        <x:v>Over capacity</x:v>
      </x:c>
    </x:row>
    <x:row r="17">
      <x:c r="A17" s="8" t="n">
        <x:v>16</x:v>
      </x:c>
      <x:c r="B17" s="9" t="str">
        <x:v>110T产能3#</x:v>
      </x:c>
      <x:c r="C17" s="9" t="str">
        <x:v>110T 按10H</x:v>
      </x:c>
      <x:c r="D17" s="9" t="n">
        <x:v>16</x:v>
      </x:c>
      <x:c r="E17" s="12" t="n">
        <x:v>4908504.58</x:v>
      </x:c>
      <x:c r="F17" s="12" t="n">
        <x:v>129600</x:v>
      </x:c>
      <x:c r="G17" s="12" t="n">
        <x:f>IFERROR(F17*26*I17,0)</x:f>
        <x:v>6739200</x:v>
      </x:c>
      <x:c r="H17" s="12" t="n">
        <x:v>55.78</x:v>
      </x:c>
      <x:c r="I17" s="12" t="n">
        <x:v>2</x:v>
      </x:c>
      <x:c r="J17" s="12" t="n">
        <x:f>IFERROR(26*I17,0)</x:f>
        <x:v>52</x:v>
      </x:c>
      <x:c r="K17" s="14" t="n">
        <x:f>IFERROR(H17/J17,0)</x:f>
        <x:v>1.0726923076923076</x:v>
      </x:c>
      <x:c r="L17" s="12" t="n">
        <x:f>MAX(0,H17-J17)</x:f>
        <x:v>3.780000000000001</x:v>
      </x:c>
      <x:c r="M17" s="12" t="n">
        <x:f>CEILING(IFERROR(H17/26,0),1)</x:f>
        <x:v>3</x:v>
      </x:c>
      <x:c r="N17" s="12" t="n">
        <x:f>MAX(0,M17-I17)</x:f>
        <x:v>1</x:v>
      </x:c>
      <x:c r="O17" s="14" t="n">
        <x:v>0.7279</x:v>
      </x:c>
      <x:c r="P17" s="10" t="str">
        <x:f>IF(K17&gt;1,"Over capacity",IF(K17&gt;=0.85,"High load",IF(K17&gt;=0.5,"Normal","Low load")))</x:f>
        <x:v>Over capacity</x:v>
      </x:c>
    </x:row>
    <x:row r="18">
      <x:c r="A18" s="8" t="n">
        <x:v>17</x:v>
      </x:c>
      <x:c r="B18" s="9" t="str">
        <x:v>Rivet</x:v>
      </x:c>
      <x:c r="C18" s="9" t="str">
        <x:v>M/C :RV1</x:v>
      </x:c>
      <x:c r="D18" s="9" t="n">
        <x:v>6</x:v>
      </x:c>
      <x:c r="E18" s="12" t="n">
        <x:v>40000</x:v>
      </x:c>
      <x:c r="F18" s="12" t="n">
        <x:v>2040</x:v>
      </x:c>
      <x:c r="G18" s="12" t="n">
        <x:f>IFERROR(F18*26*I18,0)</x:f>
        <x:v>53040</x:v>
      </x:c>
      <x:c r="H18" s="12" t="n">
        <x:v>26.96</x:v>
      </x:c>
      <x:c r="I18" s="12" t="n">
        <x:v>1</x:v>
      </x:c>
      <x:c r="J18" s="12" t="n">
        <x:f>IFERROR(26*I18,0)</x:f>
        <x:v>26</x:v>
      </x:c>
      <x:c r="K18" s="14" t="n">
        <x:f>IFERROR(H18/J18,0)</x:f>
        <x:v>1.036923076923077</x:v>
      </x:c>
      <x:c r="L18" s="12" t="n">
        <x:f>MAX(0,H18-J18)</x:f>
        <x:v>0.9600000000000009</x:v>
      </x:c>
      <x:c r="M18" s="12" t="n">
        <x:f>CEILING(IFERROR(H18/26,0),1)</x:f>
        <x:v>2</x:v>
      </x:c>
      <x:c r="N18" s="12" t="n">
        <x:f>MAX(0,M18-I18)</x:f>
        <x:v>1</x:v>
      </x:c>
      <x:c r="O18" s="14" t="n">
        <x:v>0.85</x:v>
      </x:c>
      <x:c r="P18" s="10" t="str">
        <x:f>IF(K18&gt;1,"Over capacity",IF(K18&gt;=0.85,"High load",IF(K18&gt;=0.5,"Normal","Low load")))</x:f>
        <x:v>Over capacity</x:v>
      </x:c>
    </x:row>
    <x:row r="19">
      <x:c r="A19" s="8" t="n">
        <x:v>18</x:v>
      </x:c>
      <x:c r="B19" s="9" t="str">
        <x:v>MC Spot welding</x:v>
      </x:c>
      <x:c r="C19" s="9" t="str">
        <x:v>M/C:SW4</x:v>
      </x:c>
      <x:c r="D19" s="9" t="n">
        <x:v>7</x:v>
      </x:c>
      <x:c r="E19" s="12" t="n">
        <x:v>15700</x:v>
      </x:c>
      <x:c r="F19" s="12" t="n">
        <x:v>765</x:v>
      </x:c>
      <x:c r="G19" s="12" t="n">
        <x:f>IFERROR(F19*26*I19,0)</x:f>
        <x:v>19890</x:v>
      </x:c>
      <x:c r="H19" s="12" t="n">
        <x:v>25.32</x:v>
      </x:c>
      <x:c r="I19" s="12" t="n">
        <x:v>1</x:v>
      </x:c>
      <x:c r="J19" s="12" t="n">
        <x:f>IFERROR(26*I19,0)</x:f>
        <x:v>26</x:v>
      </x:c>
      <x:c r="K19" s="14" t="n">
        <x:f>IFERROR(H19/J19,0)</x:f>
        <x:v>0.9738461538461538</x:v>
      </x:c>
      <x:c r="L19" s="12" t="n">
        <x:f>MAX(0,H19-J19)</x:f>
        <x:v>0</x:v>
      </x:c>
      <x:c r="M19" s="12" t="n">
        <x:f>CEILING(IFERROR(H19/26,0),1)</x:f>
        <x:v>1</x:v>
      </x:c>
      <x:c r="N19" s="12" t="n">
        <x:f>MAX(0,M19-I19)</x:f>
        <x:v>0</x:v>
      </x:c>
      <x:c r="O19" s="14" t="n">
        <x:v>0.85</x:v>
      </x:c>
      <x:c r="P19" s="10" t="str">
        <x:f>IF(K19&gt;1,"Over capacity",IF(K19&gt;=0.85,"High load",IF(K19&gt;=0.5,"Normal","Low load")))</x:f>
        <x:v>High load</x:v>
      </x:c>
    </x:row>
    <x:row r="20">
      <x:c r="A20" s="8" t="n">
        <x:v>19</x:v>
      </x:c>
      <x:c r="B20" s="9" t="str">
        <x:v>MC Spot welding</x:v>
      </x:c>
      <x:c r="C20" s="9" t="str">
        <x:v>M/C:SW2</x:v>
      </x:c>
      <x:c r="D20" s="9" t="n">
        <x:v>1</x:v>
      </x:c>
      <x:c r="E20" s="12" t="n">
        <x:v>120000</x:v>
      </x:c>
      <x:c r="F20" s="12" t="n">
        <x:v>5100</x:v>
      </x:c>
      <x:c r="G20" s="12" t="n">
        <x:f>IFERROR(F20*26*I20,0)</x:f>
        <x:v>132600</x:v>
      </x:c>
      <x:c r="H20" s="12" t="n">
        <x:v>23.53</x:v>
      </x:c>
      <x:c r="I20" s="12" t="n">
        <x:v>1</x:v>
      </x:c>
      <x:c r="J20" s="12" t="n">
        <x:f>IFERROR(26*I20,0)</x:f>
        <x:v>26</x:v>
      </x:c>
      <x:c r="K20" s="14" t="n">
        <x:f>IFERROR(H20/J20,0)</x:f>
        <x:v>0.905</x:v>
      </x:c>
      <x:c r="L20" s="12" t="n">
        <x:f>MAX(0,H20-J20)</x:f>
        <x:v>0</x:v>
      </x:c>
      <x:c r="M20" s="12" t="n">
        <x:f>CEILING(IFERROR(H20/26,0),1)</x:f>
        <x:v>1</x:v>
      </x:c>
      <x:c r="N20" s="12" t="n">
        <x:f>MAX(0,M20-I20)</x:f>
        <x:v>0</x:v>
      </x:c>
      <x:c r="O20" s="14" t="n">
        <x:v>0.85</x:v>
      </x:c>
      <x:c r="P20" s="10" t="str">
        <x:f>IF(K20&gt;1,"Over capacity",IF(K20&gt;=0.85,"High load",IF(K20&gt;=0.5,"Normal","Low load")))</x:f>
        <x:v>High load</x:v>
      </x:c>
    </x:row>
    <x:row r="21">
      <x:c r="A21" s="8" t="n">
        <x:v>20</x:v>
      </x:c>
      <x:c r="B21" s="9" t="str">
        <x:v>500T 产能分析8#</x:v>
      </x:c>
      <x:c r="C21" s="9" t="str">
        <x:v>500T</x:v>
      </x:c>
      <x:c r="D21" s="9" t="n">
        <x:v>17</x:v>
      </x:c>
      <x:c r="E21" s="12" t="n">
        <x:v>242500</x:v>
      </x:c>
      <x:c r="F21" s="12" t="n">
        <x:v>21000</x:v>
      </x:c>
      <x:c r="G21" s="12" t="n">
        <x:f>IFERROR(F21*26*I21,0)</x:f>
        <x:v>546000</x:v>
      </x:c>
      <x:c r="H21" s="12" t="n">
        <x:v>22.81</x:v>
      </x:c>
      <x:c r="I21" s="12" t="n">
        <x:v>1</x:v>
      </x:c>
      <x:c r="J21" s="12" t="n">
        <x:f>IFERROR(26*I21,0)</x:f>
        <x:v>26</x:v>
      </x:c>
      <x:c r="K21" s="14" t="n">
        <x:f>IFERROR(H21/J21,0)</x:f>
        <x:v>0.8773076923076922</x:v>
      </x:c>
      <x:c r="L21" s="12" t="n">
        <x:f>MAX(0,H21-J21)</x:f>
        <x:v>0</x:v>
      </x:c>
      <x:c r="M21" s="12" t="n">
        <x:f>CEILING(IFERROR(H21/26,0),1)</x:f>
        <x:v>1</x:v>
      </x:c>
      <x:c r="N21" s="12" t="n">
        <x:f>MAX(0,M21-I21)</x:f>
        <x:v>0</x:v>
      </x:c>
      <x:c r="O21" s="14" t="n">
        <x:v>0.7</x:v>
      </x:c>
      <x:c r="P21" s="10" t="str">
        <x:f>IF(K21&gt;1,"Over capacity",IF(K21&gt;=0.85,"High load",IF(K21&gt;=0.5,"Normal","Low load")))</x:f>
        <x:v>High load</x:v>
      </x:c>
    </x:row>
    <x:row r="22">
      <x:c r="A22" s="8" t="n">
        <x:v>21</x:v>
      </x:c>
      <x:c r="B22" s="9" t="str">
        <x:v>80T产能1#</x:v>
      </x:c>
      <x:c r="C22" s="9" t="str">
        <x:v>80T No.1#</x:v>
      </x:c>
      <x:c r="D22" s="9" t="n">
        <x:v>13</x:v>
      </x:c>
      <x:c r="E22" s="12" t="n">
        <x:v>2907150</x:v>
      </x:c>
      <x:c r="F22" s="12" t="n">
        <x:v>201600</x:v>
      </x:c>
      <x:c r="G22" s="12" t="n">
        <x:f>IFERROR(F22*26*I22,0)</x:f>
        <x:v>10483200</x:v>
      </x:c>
      <x:c r="H22" s="12" t="n">
        <x:v>39.41</x:v>
      </x:c>
      <x:c r="I22" s="12" t="n">
        <x:v>2</x:v>
      </x:c>
      <x:c r="J22" s="12" t="n">
        <x:f>IFERROR(26*I22,0)</x:f>
        <x:v>52</x:v>
      </x:c>
      <x:c r="K22" s="14" t="n">
        <x:f>IFERROR(H22/J22,0)</x:f>
        <x:v>0.7578846153846153</x:v>
      </x:c>
      <x:c r="L22" s="12" t="n">
        <x:f>MAX(0,H22-J22)</x:f>
        <x:v>0</x:v>
      </x:c>
      <x:c r="M22" s="12" t="n">
        <x:f>CEILING(IFERROR(H22/26,0),1)</x:f>
        <x:v>2</x:v>
      </x:c>
      <x:c r="N22" s="12" t="n">
        <x:f>MAX(0,M22-I22)</x:f>
        <x:v>0</x:v>
      </x:c>
      <x:c r="O22" s="14" t="n">
        <x:v>0.6</x:v>
      </x:c>
      <x:c r="P22" s="10" t="str">
        <x:f>IF(K22&gt;1,"Over capacity",IF(K22&gt;=0.85,"High load",IF(K22&gt;=0.5,"Normal","Low load")))</x:f>
        <x:v>Normal</x:v>
      </x:c>
    </x:row>
    <x:row r="23">
      <x:c r="A23" s="8" t="n">
        <x:v>22</x:v>
      </x:c>
      <x:c r="B23" s="9" t="str">
        <x:v>MC Spot welding</x:v>
      </x:c>
      <x:c r="C23" s="9" t="str">
        <x:v>M/C:SW6</x:v>
      </x:c>
      <x:c r="D23" s="9" t="n">
        <x:v>4</x:v>
      </x:c>
      <x:c r="E23" s="12" t="n">
        <x:v>10000</x:v>
      </x:c>
      <x:c r="F23" s="12" t="n">
        <x:v>510</x:v>
      </x:c>
      <x:c r="G23" s="12" t="n">
        <x:f>IFERROR(F23*26*I23,0)</x:f>
        <x:v>13260</x:v>
      </x:c>
      <x:c r="H23" s="12" t="n">
        <x:v>19.61</x:v>
      </x:c>
      <x:c r="I23" s="12" t="n">
        <x:v>1</x:v>
      </x:c>
      <x:c r="J23" s="12" t="n">
        <x:f>IFERROR(26*I23,0)</x:f>
        <x:v>26</x:v>
      </x:c>
      <x:c r="K23" s="14" t="n">
        <x:f>IFERROR(H23/J23,0)</x:f>
        <x:v>0.7542307692307693</x:v>
      </x:c>
      <x:c r="L23" s="12" t="n">
        <x:f>MAX(0,H23-J23)</x:f>
        <x:v>0</x:v>
      </x:c>
      <x:c r="M23" s="12" t="n">
        <x:f>CEILING(IFERROR(H23/26,0),1)</x:f>
        <x:v>1</x:v>
      </x:c>
      <x:c r="N23" s="12" t="n">
        <x:f>MAX(0,M23-I23)</x:f>
        <x:v>0</x:v>
      </x:c>
      <x:c r="O23" s="14" t="n">
        <x:v>0.85</x:v>
      </x:c>
      <x:c r="P23" s="10" t="str">
        <x:f>IF(K23&gt;1,"Over capacity",IF(K23&gt;=0.85,"High load",IF(K23&gt;=0.5,"Normal","Low load")))</x:f>
        <x:v>Normal</x:v>
      </x:c>
    </x:row>
    <x:row r="24">
      <x:c r="A24" s="8" t="n">
        <x:v>23</x:v>
      </x:c>
      <x:c r="B24" s="9" t="str">
        <x:v>MC Spot welding</x:v>
      </x:c>
      <x:c r="C24" s="9" t="str">
        <x:v>M/C:SW7</x:v>
      </x:c>
      <x:c r="D24" s="9" t="n">
        <x:v>4</x:v>
      </x:c>
      <x:c r="E24" s="12" t="n">
        <x:v>10000</x:v>
      </x:c>
      <x:c r="F24" s="12" t="n">
        <x:v>510</x:v>
      </x:c>
      <x:c r="G24" s="12" t="n">
        <x:f>IFERROR(F24*26*I24,0)</x:f>
        <x:v>13260</x:v>
      </x:c>
      <x:c r="H24" s="12" t="n">
        <x:v>19.61</x:v>
      </x:c>
      <x:c r="I24" s="12" t="n">
        <x:v>1</x:v>
      </x:c>
      <x:c r="J24" s="12" t="n">
        <x:f>IFERROR(26*I24,0)</x:f>
        <x:v>26</x:v>
      </x:c>
      <x:c r="K24" s="14" t="n">
        <x:f>IFERROR(H24/J24,0)</x:f>
        <x:v>0.7542307692307693</x:v>
      </x:c>
      <x:c r="L24" s="12" t="n">
        <x:f>MAX(0,H24-J24)</x:f>
        <x:v>0</x:v>
      </x:c>
      <x:c r="M24" s="12" t="n">
        <x:f>CEILING(IFERROR(H24/26,0),1)</x:f>
        <x:v>1</x:v>
      </x:c>
      <x:c r="N24" s="12" t="n">
        <x:f>MAX(0,M24-I24)</x:f>
        <x:v>0</x:v>
      </x:c>
      <x:c r="O24" s="14" t="n">
        <x:v>0.85</x:v>
      </x:c>
      <x:c r="P24" s="10" t="str">
        <x:f>IF(K24&gt;1,"Over capacity",IF(K24&gt;=0.85,"High load",IF(K24&gt;=0.5,"Normal","Low load")))</x:f>
        <x:v>Normal</x:v>
      </x:c>
    </x:row>
    <x:row r="25">
      <x:c r="A25" s="8" t="n">
        <x:v>24</x:v>
      </x:c>
      <x:c r="B25" s="9" t="str">
        <x:v>80T高速冲产能2#</x:v>
      </x:c>
      <x:c r="C25" s="9" t="str">
        <x:v>80T NO.</x:v>
      </x:c>
      <x:c r="D25" s="9" t="n">
        <x:v>5</x:v>
      </x:c>
      <x:c r="E25" s="12" t="n">
        <x:v>9410032</x:v>
      </x:c>
      <x:c r="F25" s="12" t="n">
        <x:v>1197000</x:v>
      </x:c>
      <x:c r="G25" s="12" t="n">
        <x:f>IFERROR(F25*26*I25,0)</x:f>
        <x:v>31122000</x:v>
      </x:c>
      <x:c r="H25" s="12" t="n">
        <x:v>18.45</x:v>
      </x:c>
      <x:c r="I25" s="12" t="n">
        <x:v>1</x:v>
      </x:c>
      <x:c r="J25" s="12" t="n">
        <x:f>IFERROR(26*I25,0)</x:f>
        <x:v>26</x:v>
      </x:c>
      <x:c r="K25" s="14" t="n">
        <x:f>IFERROR(H25/J25,0)</x:f>
        <x:v>0.7096153846153845</x:v>
      </x:c>
      <x:c r="L25" s="12" t="n">
        <x:f>MAX(0,H25-J25)</x:f>
        <x:v>0</x:v>
      </x:c>
      <x:c r="M25" s="12" t="n">
        <x:f>CEILING(IFERROR(H25/26,0),1)</x:f>
        <x:v>1</x:v>
      </x:c>
      <x:c r="N25" s="12" t="n">
        <x:f>MAX(0,M25-I25)</x:f>
        <x:v>0</x:v>
      </x:c>
      <x:c r="O25" s="14" t="n">
        <x:v>0.6799</x:v>
      </x:c>
      <x:c r="P25" s="10" t="str">
        <x:f>IF(K25&gt;1,"Over capacity",IF(K25&gt;=0.85,"High load",IF(K25&gt;=0.5,"Normal","Low load")))</x:f>
        <x:v>Normal</x:v>
      </x:c>
    </x:row>
    <x:row r="26">
      <x:c r="A26" s="8" t="n">
        <x:v>25</x:v>
      </x:c>
      <x:c r="B26" s="9" t="str">
        <x:v>压铸机 650T</x:v>
      </x:c>
      <x:c r="C26" s="9" t="str">
        <x:v>压铸机</x:v>
      </x:c>
      <x:c r="D26" s="9" t="n">
        <x:v>2</x:v>
      </x:c>
      <x:c r="E26" s="12" t="n">
        <x:v>5700</x:v>
      </x:c>
      <x:c r="F26" s="12" t="n">
        <x:v>360</x:v>
      </x:c>
      <x:c r="G26" s="12" t="n">
        <x:f>IFERROR(F26*26*I26,0)</x:f>
        <x:v>9360</x:v>
      </x:c>
      <x:c r="H26" s="12" t="n">
        <x:v>15.83</x:v>
      </x:c>
      <x:c r="I26" s="12" t="n">
        <x:v>1</x:v>
      </x:c>
      <x:c r="J26" s="12" t="n">
        <x:f>IFERROR(26*I26,0)</x:f>
        <x:v>26</x:v>
      </x:c>
      <x:c r="K26" s="14" t="n">
        <x:f>IFERROR(H26/J26,0)</x:f>
        <x:v>0.6088461538461538</x:v>
      </x:c>
      <x:c r="L26" s="12" t="n">
        <x:f>MAX(0,H26-J26)</x:f>
        <x:v>0</x:v>
      </x:c>
      <x:c r="M26" s="12" t="n">
        <x:f>CEILING(IFERROR(H26/26,0),1)</x:f>
        <x:v>1</x:v>
      </x:c>
      <x:c r="N26" s="12" t="n">
        <x:f>MAX(0,M26-I26)</x:f>
        <x:v>0</x:v>
      </x:c>
      <x:c r="O26" s="14" t="n">
        <x:v>0.6</x:v>
      </x:c>
      <x:c r="P26" s="10" t="str">
        <x:f>IF(K26&gt;1,"Over capacity",IF(K26&gt;=0.85,"High load",IF(K26&gt;=0.5,"Normal","Low load")))</x:f>
        <x:v>Normal</x:v>
      </x:c>
    </x:row>
    <x:row r="27">
      <x:c r="A27" s="8" t="n">
        <x:v>26</x:v>
      </x:c>
      <x:c r="B27" s="9" t="str">
        <x:v>110T产能4#</x:v>
      </x:c>
      <x:c r="C27" s="9" t="str">
        <x:v>110T 按10H</x:v>
      </x:c>
      <x:c r="D27" s="9" t="n">
        <x:v>5</x:v>
      </x:c>
      <x:c r="E27" s="12" t="n">
        <x:v>1066583.5</x:v>
      </x:c>
      <x:c r="F27" s="12" t="n">
        <x:v>90000</x:v>
      </x:c>
      <x:c r="G27" s="12" t="n">
        <x:f>IFERROR(F27*26*I27,0)</x:f>
        <x:v>4680000</x:v>
      </x:c>
      <x:c r="H27" s="12" t="n">
        <x:v>26.63</x:v>
      </x:c>
      <x:c r="I27" s="12" t="n">
        <x:v>2</x:v>
      </x:c>
      <x:c r="J27" s="12" t="n">
        <x:f>IFERROR(26*I27,0)</x:f>
        <x:v>52</x:v>
      </x:c>
      <x:c r="K27" s="14" t="n">
        <x:f>IFERROR(H27/J27,0)</x:f>
        <x:v>0.5121153846153846</x:v>
      </x:c>
      <x:c r="L27" s="12" t="n">
        <x:f>MAX(0,H27-J27)</x:f>
        <x:v>0</x:v>
      </x:c>
      <x:c r="M27" s="12" t="n">
        <x:f>CEILING(IFERROR(H27/26,0),1)</x:f>
        <x:v>2</x:v>
      </x:c>
      <x:c r="N27" s="12" t="n">
        <x:f>MAX(0,M27-I27)</x:f>
        <x:v>0</x:v>
      </x:c>
      <x:c r="O27" s="14" t="n">
        <x:v>0.6098</x:v>
      </x:c>
      <x:c r="P27" s="10" t="str">
        <x:f>IF(K27&gt;1,"Over capacity",IF(K27&gt;=0.85,"High load",IF(K27&gt;=0.5,"Normal","Low load")))</x:f>
        <x:v>Normal</x:v>
      </x:c>
    </x:row>
    <x:row r="28">
      <x:c r="A28" s="8" t="n">
        <x:v>27</x:v>
      </x:c>
      <x:c r="B28" s="9" t="str">
        <x:v>MC Spot welding</x:v>
      </x:c>
      <x:c r="C28" s="9" t="str">
        <x:v>M/C:SW5</x:v>
      </x:c>
      <x:c r="D28" s="9" t="n">
        <x:v>4</x:v>
      </x:c>
      <x:c r="E28" s="12" t="n">
        <x:v>5500</x:v>
      </x:c>
      <x:c r="F28" s="12" t="n">
        <x:v>459</x:v>
      </x:c>
      <x:c r="G28" s="12" t="n">
        <x:f>IFERROR(F28*26*I28,0)</x:f>
        <x:v>11934</x:v>
      </x:c>
      <x:c r="H28" s="12" t="n">
        <x:v>11.98</x:v>
      </x:c>
      <x:c r="I28" s="12" t="n">
        <x:v>1</x:v>
      </x:c>
      <x:c r="J28" s="12" t="n">
        <x:f>IFERROR(26*I28,0)</x:f>
        <x:v>26</x:v>
      </x:c>
      <x:c r="K28" s="14" t="n">
        <x:f>IFERROR(H28/J28,0)</x:f>
        <x:v>0.46076923076923076</x:v>
      </x:c>
      <x:c r="L28" s="12" t="n">
        <x:f>MAX(0,H28-J28)</x:f>
        <x:v>0</x:v>
      </x:c>
      <x:c r="M28" s="12" t="n">
        <x:f>CEILING(IFERROR(H28/26,0),1)</x:f>
        <x:v>1</x:v>
      </x:c>
      <x:c r="N28" s="12" t="n">
        <x:f>MAX(0,M28-I28)</x:f>
        <x:v>0</x:v>
      </x:c>
      <x:c r="O28" s="14" t="n">
        <x:v>0.85</x:v>
      </x:c>
      <x:c r="P28" s="10" t="str">
        <x:f>IF(K28&gt;1,"Over capacity",IF(K28&gt;=0.85,"High load",IF(K28&gt;=0.5,"Normal","Low load")))</x:f>
        <x:v>Low load</x:v>
      </x:c>
    </x:row>
    <x:row r="29">
      <x:c r="A29" s="8" t="n">
        <x:v>28</x:v>
      </x:c>
      <x:c r="B29" s="9" t="str">
        <x:v>150T产能6#</x:v>
      </x:c>
      <x:c r="C29" s="9" t="str">
        <x:v>150T</x:v>
      </x:c>
      <x:c r="D29" s="9" t="n">
        <x:v>3</x:v>
      </x:c>
      <x:c r="E29" s="12" t="n">
        <x:v>313000</x:v>
      </x:c>
      <x:c r="F29" s="12" t="n">
        <x:v>43200</x:v>
      </x:c>
      <x:c r="G29" s="12" t="n">
        <x:f>IFERROR(F29*26*I29,0)</x:f>
        <x:v>1123200</x:v>
      </x:c>
      <x:c r="H29" s="12" t="n">
        <x:v>10</x:v>
      </x:c>
      <x:c r="I29" s="12" t="n">
        <x:v>1</x:v>
      </x:c>
      <x:c r="J29" s="12" t="n">
        <x:f>IFERROR(26*I29,0)</x:f>
        <x:v>26</x:v>
      </x:c>
      <x:c r="K29" s="14" t="n">
        <x:f>IFERROR(H29/J29,0)</x:f>
        <x:v>0.38461538461538464</x:v>
      </x:c>
      <x:c r="L29" s="12" t="n">
        <x:f>MAX(0,H29-J29)</x:f>
        <x:v>0</x:v>
      </x:c>
      <x:c r="M29" s="12" t="n">
        <x:f>CEILING(IFERROR(H29/26,0),1)</x:f>
        <x:v>1</x:v>
      </x:c>
      <x:c r="N29" s="12" t="n">
        <x:f>MAX(0,M29-I29)</x:f>
        <x:v>0</x:v>
      </x:c>
      <x:c r="O29" s="14" t="n">
        <x:v>0.6</x:v>
      </x:c>
      <x:c r="P29" s="10" t="str">
        <x:f>IF(K29&gt;1,"Over capacity",IF(K29&gt;=0.85,"High load",IF(K29&gt;=0.5,"Normal","Low load")))</x:f>
        <x:v>Low load</x:v>
      </x:c>
    </x:row>
    <x:row r="30">
      <x:c r="A30" s="8" t="n">
        <x:v>29</x:v>
      </x:c>
      <x:c r="B30" s="9" t="str">
        <x:v>Robot welding</x:v>
      </x:c>
      <x:c r="C30" s="9" t="str">
        <x:v>M/C :RW3</x:v>
      </x:c>
      <x:c r="D30" s="9" t="n">
        <x:v>1</x:v>
      </x:c>
      <x:c r="E30" s="12" t="n">
        <x:v>2500</x:v>
      </x:c>
      <x:c r="F30" s="12" t="n">
        <x:v>255</x:v>
      </x:c>
      <x:c r="G30" s="12" t="n">
        <x:f>IFERROR(F30*26*I30,0)</x:f>
        <x:v>6630</x:v>
      </x:c>
      <x:c r="H30" s="12" t="n">
        <x:v>9.8</x:v>
      </x:c>
      <x:c r="I30" s="12" t="n">
        <x:v>1</x:v>
      </x:c>
      <x:c r="J30" s="12" t="n">
        <x:f>IFERROR(26*I30,0)</x:f>
        <x:v>26</x:v>
      </x:c>
      <x:c r="K30" s="14" t="n">
        <x:f>IFERROR(H30/J30,0)</x:f>
        <x:v>0.37692307692307697</x:v>
      </x:c>
      <x:c r="L30" s="12" t="n">
        <x:f>MAX(0,H30-J30)</x:f>
        <x:v>0</x:v>
      </x:c>
      <x:c r="M30" s="12" t="n">
        <x:f>CEILING(IFERROR(H30/26,0),1)</x:f>
        <x:v>1</x:v>
      </x:c>
      <x:c r="N30" s="12" t="n">
        <x:f>MAX(0,M30-I30)</x:f>
        <x:v>0</x:v>
      </x:c>
      <x:c r="O30" s="14" t="n">
        <x:v>0.85</x:v>
      </x:c>
      <x:c r="P30" s="10" t="str">
        <x:f>IF(K30&gt;1,"Over capacity",IF(K30&gt;=0.85,"High load",IF(K30&gt;=0.5,"Normal","Low load")))</x:f>
        <x:v>Low load</x:v>
      </x:c>
    </x:row>
    <x:row r="31">
      <x:c r="A31" s="8" t="n">
        <x:v>30</x:v>
      </x:c>
      <x:c r="B31" s="9" t="str">
        <x:v>MC Spot welding</x:v>
      </x:c>
      <x:c r="C31" s="9" t="str">
        <x:v>M/C:SW1</x:v>
      </x:c>
      <x:c r="D31" s="9" t="n">
        <x:v>2</x:v>
      </x:c>
      <x:c r="E31" s="12" t="n">
        <x:v>6000</x:v>
      </x:c>
      <x:c r="F31" s="12" t="n">
        <x:v>800.7</x:v>
      </x:c>
      <x:c r="G31" s="12" t="n">
        <x:f>IFERROR(F31*26*I31,0)</x:f>
        <x:v>20818.2</x:v>
      </x:c>
      <x:c r="H31" s="12" t="n">
        <x:v>7.49</x:v>
      </x:c>
      <x:c r="I31" s="12" t="n">
        <x:v>1</x:v>
      </x:c>
      <x:c r="J31" s="12" t="n">
        <x:f>IFERROR(26*I31,0)</x:f>
        <x:v>26</x:v>
      </x:c>
      <x:c r="K31" s="14" t="n">
        <x:f>IFERROR(H31/J31,0)</x:f>
        <x:v>0.28807692307692306</x:v>
      </x:c>
      <x:c r="L31" s="12" t="n">
        <x:f>MAX(0,H31-J31)</x:f>
        <x:v>0</x:v>
      </x:c>
      <x:c r="M31" s="12" t="n">
        <x:f>CEILING(IFERROR(H31/26,0),1)</x:f>
        <x:v>1</x:v>
      </x:c>
      <x:c r="N31" s="12" t="n">
        <x:f>MAX(0,M31-I31)</x:f>
        <x:v>0</x:v>
      </x:c>
      <x:c r="O31" s="14" t="n">
        <x:v>0.85</x:v>
      </x:c>
      <x:c r="P31" s="10" t="str">
        <x:f>IF(K31&gt;1,"Over capacity",IF(K31&gt;=0.85,"High load",IF(K31&gt;=0.5,"Normal","Low load")))</x:f>
        <x:v>Low load</x:v>
      </x:c>
    </x:row>
  </x:sheetData>
  <x:pageMargins left="0.7" right="0.7" top="0.75" bottom="0.75" header="0.3" footer="0.3"/>
  <x:tableParts count="1">
    <x:tablePart xmlns:r="http://schemas.openxmlformats.org/officeDocument/2006/relationships" r:id="Rb96c33ba3a0d4d5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>
      <x:c r="A1" s="4" t="str">
        <x:v>Sheet</x:v>
      </x:c>
      <x:c r="B1" s="4" t="str">
        <x:v>Machine / Section</x:v>
      </x:c>
      <x:c r="C1" s="4" t="str">
        <x:v>Customer</x:v>
      </x:c>
      <x:c r="D1" s="4" t="str">
        <x:v>Mass Production Time</x:v>
      </x:c>
      <x:c r="E1" s="4" t="str">
        <x:v>Product Name</x:v>
      </x:c>
      <x:c r="F1" s="4" t="str">
        <x:v>Product Number</x:v>
      </x:c>
      <x:c r="G1" s="4" t="str">
        <x:v>Product Spec</x:v>
      </x:c>
      <x:c r="H1" s="4" t="str">
        <x:v>Monthly Forecast</x:v>
      </x:c>
      <x:c r="I1" s="4" t="str">
        <x:v>Daily Capacity 10h</x:v>
      </x:c>
      <x:c r="J1" s="4" t="str">
        <x:v>Current Equipment</x:v>
      </x:c>
      <x:c r="K1" s="4" t="str">
        <x:v>Monthly Capacity 26d</x:v>
      </x:c>
      <x:c r="L1" s="4" t="str">
        <x:v>Required Shifts</x:v>
      </x:c>
      <x:c r="M1" s="4" t="str">
        <x:v>Available Shifts</x:v>
      </x:c>
      <x:c r="N1" s="4" t="str">
        <x:v>Utilization</x:v>
      </x:c>
      <x:c r="O1" s="4" t="str">
        <x:v>OEE</x:v>
      </x:c>
      <x:c r="P1" s="4" t="str">
        <x:v>Cavities</x:v>
      </x:c>
      <x:c r="Q1" s="4" t="str">
        <x:v>Process Time Sec</x:v>
      </x:c>
      <x:c r="R1" s="4" t="str">
        <x:v>Status</x:v>
      </x:c>
    </x:row>
    <x:row r="2">
      <x:c r="A2" s="5" t="str">
        <x:v>TAP产能分析</x:v>
      </x:c>
      <x:c r="B2" s="6" t="str">
        <x:v>TAP产能分析</x:v>
      </x:c>
      <x:c r="C2" s="6"/>
      <x:c r="D2" s="6"/>
      <x:c r="E2" s="6" t="str">
        <x:v>机构左右侧板L</x:v>
      </x:c>
      <x:c r="F2" s="6"/>
      <x:c r="G2" s="6" t="str">
        <x:v>48187088AA</x:v>
      </x:c>
      <x:c r="H2" s="11" t="n">
        <x:v>110833</x:v>
      </x:c>
      <x:c r="I2" s="11" t="n">
        <x:v>10000</x:v>
      </x:c>
      <x:c r="J2" s="11" t="n">
        <x:v>1</x:v>
      </x:c>
      <x:c r="K2" s="11" t="n">
        <x:f>IFERROR(I2*26*J2,0)</x:f>
        <x:v>260000</x:v>
      </x:c>
      <x:c r="L2" s="11" t="n">
        <x:f>IFERROR(H2/I2,0)</x:f>
        <x:v>11.0833</x:v>
      </x:c>
      <x:c r="M2" s="11" t="n">
        <x:f>IFERROR(26*J2,0)</x:f>
        <x:v>26</x:v>
      </x:c>
      <x:c r="N2" s="13" t="n">
        <x:f>IFERROR(L2/M2,0)</x:f>
        <x:v>0.4262807692307692</x:v>
      </x:c>
      <x:c r="O2" s="13"/>
      <x:c r="P2" s="6" t="n">
        <x:v>1</x:v>
      </x:c>
      <x:c r="Q2" s="6"/>
      <x:c r="R2" s="7" t="str">
        <x:f>IF(N2&gt;1,"Over capacity",IF(N2&gt;=0.85,"High load",IF(N2&gt;=0.5,"Normal","Low load")))</x:f>
        <x:v>Low load</x:v>
      </x:c>
    </x:row>
    <x:row r="3">
      <x:c r="A3" s="8" t="str">
        <x:v>TAP产能分析</x:v>
      </x:c>
      <x:c r="B3" s="9" t="str">
        <x:v>TAP产能分析</x:v>
      </x:c>
      <x:c r="C3" s="9"/>
      <x:c r="D3" s="9"/>
      <x:c r="E3" s="9" t="str">
        <x:v>机构左右侧板R</x:v>
      </x:c>
      <x:c r="F3" s="9"/>
      <x:c r="G3" s="9" t="str">
        <x:v>48187089AA</x:v>
      </x:c>
      <x:c r="H3" s="12" t="n">
        <x:v>110833</x:v>
      </x:c>
      <x:c r="I3" s="12" t="n">
        <x:v>10000</x:v>
      </x:c>
      <x:c r="J3" s="12" t="n">
        <x:v>1</x:v>
      </x:c>
      <x:c r="K3" s="12" t="n">
        <x:f>IFERROR(I3*26*J3,0)</x:f>
        <x:v>260000</x:v>
      </x:c>
      <x:c r="L3" s="12" t="n">
        <x:f>IFERROR(H3/I3,0)</x:f>
        <x:v>11.0833</x:v>
      </x:c>
      <x:c r="M3" s="12" t="n">
        <x:f>IFERROR(26*J3,0)</x:f>
        <x:v>26</x:v>
      </x:c>
      <x:c r="N3" s="14" t="n">
        <x:f>IFERROR(L3/M3,0)</x:f>
        <x:v>0.4262807692307692</x:v>
      </x:c>
      <x:c r="O3" s="14"/>
      <x:c r="P3" s="9" t="n">
        <x:v>1</x:v>
      </x:c>
      <x:c r="Q3" s="9"/>
      <x:c r="R3" s="10" t="str">
        <x:f>IF(N3&gt;1,"Over capacity",IF(N3&gt;=0.85,"High load",IF(N3&gt;=0.5,"Normal","Low load")))</x:f>
        <x:v>Low load</x:v>
      </x:c>
    </x:row>
    <x:row r="4">
      <x:c r="A4" s="8" t="str">
        <x:v>TAP产能分析</x:v>
      </x:c>
      <x:c r="B4" s="9" t="str">
        <x:v>TAP产能分析</x:v>
      </x:c>
      <x:c r="C4" s="9"/>
      <x:c r="D4" s="9"/>
      <x:c r="E4" s="9" t="str">
        <x:v>MIDDLE TERMINAL</x:v>
      </x:c>
      <x:c r="F4" s="9"/>
      <x:c r="G4" s="9" t="str">
        <x:v>48187096AA</x:v>
      </x:c>
      <x:c r="H4" s="12" t="n">
        <x:v>125000</x:v>
      </x:c>
      <x:c r="I4" s="12" t="n">
        <x:v>8000</x:v>
      </x:c>
      <x:c r="J4" s="12" t="n">
        <x:v>1</x:v>
      </x:c>
      <x:c r="K4" s="12" t="n">
        <x:f>IFERROR(I4*26*J4,0)</x:f>
        <x:v>208000</x:v>
      </x:c>
      <x:c r="L4" s="12" t="n">
        <x:f>IFERROR(H4/I4,0)</x:f>
        <x:v>15.625</x:v>
      </x:c>
      <x:c r="M4" s="12" t="n">
        <x:f>IFERROR(26*J4,0)</x:f>
        <x:v>26</x:v>
      </x:c>
      <x:c r="N4" s="14" t="n">
        <x:f>IFERROR(L4/M4,0)</x:f>
        <x:v>0.6009615384615384</x:v>
      </x:c>
      <x:c r="O4" s="14"/>
      <x:c r="P4" s="9" t="n">
        <x:v>1</x:v>
      </x:c>
      <x:c r="Q4" s="9"/>
      <x:c r="R4" s="10" t="str">
        <x:f>IF(N4&gt;1,"Over capacity",IF(N4&gt;=0.85,"High load",IF(N4&gt;=0.5,"Normal","Low load")))</x:f>
        <x:v>Normal</x:v>
      </x:c>
    </x:row>
    <x:row r="5">
      <x:c r="A5" s="8" t="str">
        <x:v>TAP产能分析</x:v>
      </x:c>
      <x:c r="B5" s="9" t="str">
        <x:v>TAP产能分析</x:v>
      </x:c>
      <x:c r="C5" s="9"/>
      <x:c r="D5" s="9"/>
      <x:c r="E5" s="9" t="str">
        <x:v>LOAD TERM-HI</x:v>
      </x:c>
      <x:c r="F5" s="9"/>
      <x:c r="G5" s="9" t="str">
        <x:v>48187055AA</x:v>
      </x:c>
      <x:c r="H5" s="12" t="n">
        <x:v>138333</x:v>
      </x:c>
      <x:c r="I5" s="12" t="n">
        <x:v>8000</x:v>
      </x:c>
      <x:c r="J5" s="12" t="n">
        <x:v>1</x:v>
      </x:c>
      <x:c r="K5" s="12" t="n">
        <x:f>IFERROR(I5*26*J5,0)</x:f>
        <x:v>208000</x:v>
      </x:c>
      <x:c r="L5" s="12" t="n">
        <x:f>IFERROR(H5/I5,0)</x:f>
        <x:v>17.291625</x:v>
      </x:c>
      <x:c r="M5" s="12" t="n">
        <x:f>IFERROR(26*J5,0)</x:f>
        <x:v>26</x:v>
      </x:c>
      <x:c r="N5" s="14" t="n">
        <x:f>IFERROR(L5/M5,0)</x:f>
        <x:v>0.6650625</x:v>
      </x:c>
      <x:c r="O5" s="14"/>
      <x:c r="P5" s="9" t="n">
        <x:v>1</x:v>
      </x:c>
      <x:c r="Q5" s="9"/>
      <x:c r="R5" s="10" t="str">
        <x:f>IF(N5&gt;1,"Over capacity",IF(N5&gt;=0.85,"High load",IF(N5&gt;=0.5,"Normal","Low load")))</x:f>
        <x:v>Normal</x:v>
      </x:c>
    </x:row>
    <x:row r="6">
      <x:c r="A6" s="8" t="str">
        <x:v>TAP产能分析</x:v>
      </x:c>
      <x:c r="B6" s="9" t="str">
        <x:v>TAP产能分析</x:v>
      </x:c>
      <x:c r="C6" s="9"/>
      <x:c r="D6" s="9"/>
      <x:c r="E6" s="9" t="str">
        <x:v>LOAD TERM-LOW</x:v>
      </x:c>
      <x:c r="F6" s="9"/>
      <x:c r="G6" s="9" t="str">
        <x:v>48187255AA</x:v>
      </x:c>
      <x:c r="H6" s="12" t="n">
        <x:v>138333</x:v>
      </x:c>
      <x:c r="I6" s="12" t="n">
        <x:v>8000</x:v>
      </x:c>
      <x:c r="J6" s="12" t="n">
        <x:v>1</x:v>
      </x:c>
      <x:c r="K6" s="12" t="n">
        <x:f>IFERROR(I6*26*J6,0)</x:f>
        <x:v>208000</x:v>
      </x:c>
      <x:c r="L6" s="12" t="n">
        <x:f>IFERROR(H6/I6,0)</x:f>
        <x:v>17.291625</x:v>
      </x:c>
      <x:c r="M6" s="12" t="n">
        <x:f>IFERROR(26*J6,0)</x:f>
        <x:v>26</x:v>
      </x:c>
      <x:c r="N6" s="14" t="n">
        <x:f>IFERROR(L6/M6,0)</x:f>
        <x:v>0.6650625</x:v>
      </x:c>
      <x:c r="O6" s="14"/>
      <x:c r="P6" s="9" t="n">
        <x:v>1</x:v>
      </x:c>
      <x:c r="Q6" s="9"/>
      <x:c r="R6" s="10" t="str">
        <x:f>IF(N6&gt;1,"Over capacity",IF(N6&gt;=0.85,"High load",IF(N6&gt;=0.5,"Normal","Low load")))</x:f>
        <x:v>Normal</x:v>
      </x:c>
    </x:row>
    <x:row r="7">
      <x:c r="A7" s="8" t="str">
        <x:v>80T产能1#</x:v>
      </x:c>
      <x:c r="B7" s="9" t="str">
        <x:v>80T No.1#</x:v>
      </x:c>
      <x:c r="C7" s="9"/>
      <x:c r="D7" s="9"/>
      <x:c r="E7" s="9" t="str">
        <x:v>MIDDLE TERMINAL</x:v>
      </x:c>
      <x:c r="F7" s="9" t="str">
        <x:v>钜详转移</x:v>
      </x:c>
      <x:c r="G7" s="9" t="str">
        <x:v>48187096AA</x:v>
      </x:c>
      <x:c r="H7" s="12" t="n">
        <x:v>250000</x:v>
      </x:c>
      <x:c r="I7" s="12" t="n">
        <x:v>54000</x:v>
      </x:c>
      <x:c r="J7" s="12" t="n">
        <x:v>1</x:v>
      </x:c>
      <x:c r="K7" s="12" t="n">
        <x:f>IFERROR(I7*26*J7,0)</x:f>
        <x:v>1404000</x:v>
      </x:c>
      <x:c r="L7" s="12" t="n">
        <x:f>IFERROR(H7/I7,0)</x:f>
        <x:v>4.62962962962963</x:v>
      </x:c>
      <x:c r="M7" s="12" t="n">
        <x:f>IFERROR(26*J7,0)</x:f>
        <x:v>26</x:v>
      </x:c>
      <x:c r="N7" s="14" t="n">
        <x:f>IFERROR(L7/M7,0)</x:f>
        <x:v>0.17806267806267806</x:v>
      </x:c>
      <x:c r="O7" s="14" t="n">
        <x:v>0.6</x:v>
      </x:c>
      <x:c r="P7" s="9" t="n">
        <x:v>2</x:v>
      </x:c>
      <x:c r="Q7" s="9"/>
      <x:c r="R7" s="10" t="str">
        <x:f>IF(N7&gt;1,"Over capacity",IF(N7&gt;=0.85,"High load",IF(N7&gt;=0.5,"Normal","Low load")))</x:f>
        <x:v>Low load</x:v>
      </x:c>
    </x:row>
    <x:row r="8">
      <x:c r="A8" s="8" t="str">
        <x:v>80T产能1#</x:v>
      </x:c>
      <x:c r="B8" s="9" t="str">
        <x:v>80T No.1#</x:v>
      </x:c>
      <x:c r="C8" s="9"/>
      <x:c r="D8" s="9"/>
      <x:c r="E8" s="9" t="str">
        <x:v>LOAD TERM-HI</x:v>
      </x:c>
      <x:c r="F8" s="9"/>
      <x:c r="G8" s="9" t="str">
        <x:v>48187055AA</x:v>
      </x:c>
      <x:c r="H8" s="12" t="n">
        <x:v>200000</x:v>
      </x:c>
      <x:c r="I8" s="12" t="n">
        <x:v>54000</x:v>
      </x:c>
      <x:c r="J8" s="12" t="n">
        <x:v>1</x:v>
      </x:c>
      <x:c r="K8" s="12" t="n">
        <x:f>IFERROR(I8*26*J8,0)</x:f>
        <x:v>1404000</x:v>
      </x:c>
      <x:c r="L8" s="12" t="n">
        <x:f>IFERROR(H8/I8,0)</x:f>
        <x:v>3.7037037037037037</x:v>
      </x:c>
      <x:c r="M8" s="12" t="n">
        <x:f>IFERROR(26*J8,0)</x:f>
        <x:v>26</x:v>
      </x:c>
      <x:c r="N8" s="14" t="n">
        <x:f>IFERROR(L8/M8,0)</x:f>
        <x:v>0.14245014245014245</x:v>
      </x:c>
      <x:c r="O8" s="14" t="n">
        <x:v>0.6</x:v>
      </x:c>
      <x:c r="P8" s="9" t="n">
        <x:v>2</x:v>
      </x:c>
      <x:c r="Q8" s="9"/>
      <x:c r="R8" s="10" t="str">
        <x:f>IF(N8&gt;1,"Over capacity",IF(N8&gt;=0.85,"High load",IF(N8&gt;=0.5,"Normal","Low load")))</x:f>
        <x:v>Low load</x:v>
      </x:c>
    </x:row>
    <x:row r="9">
      <x:c r="A9" s="8" t="str">
        <x:v>80T产能1#</x:v>
      </x:c>
      <x:c r="B9" s="9" t="str">
        <x:v>80T No.1#</x:v>
      </x:c>
      <x:c r="C9" s="9"/>
      <x:c r="D9" s="9"/>
      <x:c r="E9" s="9" t="str">
        <x:v>LOAD TERM-LOW</x:v>
      </x:c>
      <x:c r="F9" s="9"/>
      <x:c r="G9" s="9" t="str">
        <x:v>48187255AA</x:v>
      </x:c>
      <x:c r="H9" s="12" t="n">
        <x:v>140000</x:v>
      </x:c>
      <x:c r="I9" s="12" t="n">
        <x:v>54000</x:v>
      </x:c>
      <x:c r="J9" s="12" t="n">
        <x:v>1</x:v>
      </x:c>
      <x:c r="K9" s="12" t="n">
        <x:f>IFERROR(I9*26*J9,0)</x:f>
        <x:v>1404000</x:v>
      </x:c>
      <x:c r="L9" s="12" t="n">
        <x:f>IFERROR(H9/I9,0)</x:f>
        <x:v>2.5925925925925926</x:v>
      </x:c>
      <x:c r="M9" s="12" t="n">
        <x:f>IFERROR(26*J9,0)</x:f>
        <x:v>26</x:v>
      </x:c>
      <x:c r="N9" s="14" t="n">
        <x:f>IFERROR(L9/M9,0)</x:f>
        <x:v>0.09971509971509972</x:v>
      </x:c>
      <x:c r="O9" s="14" t="n">
        <x:v>0.6</x:v>
      </x:c>
      <x:c r="P9" s="9" t="n">
        <x:v>2</x:v>
      </x:c>
      <x:c r="Q9" s="9"/>
      <x:c r="R9" s="10" t="str">
        <x:f>IF(N9&gt;1,"Over capacity",IF(N9&gt;=0.85,"High load",IF(N9&gt;=0.5,"Normal","Low load")))</x:f>
        <x:v>Low load</x:v>
      </x:c>
    </x:row>
    <x:row r="10">
      <x:c r="A10" s="8" t="str">
        <x:v>80T产能1#</x:v>
      </x:c>
      <x:c r="B10" s="9" t="str">
        <x:v>80T No.1#</x:v>
      </x:c>
      <x:c r="C10" s="9"/>
      <x:c r="D10" s="9"/>
      <x:c r="E10" s="9" t="str">
        <x:v>PADLOCKING</x:v>
      </x:c>
      <x:c r="F10" s="9"/>
      <x:c r="G10" s="9" t="str">
        <x:v>48187864AA</x:v>
      </x:c>
      <x:c r="H10" s="12" t="n">
        <x:v>5000</x:v>
      </x:c>
      <x:c r="I10" s="12" t="n">
        <x:v>21600</x:v>
      </x:c>
      <x:c r="J10" s="12" t="n">
        <x:v>1</x:v>
      </x:c>
      <x:c r="K10" s="12" t="n">
        <x:f>IFERROR(I10*26*J10,0)</x:f>
        <x:v>561600</x:v>
      </x:c>
      <x:c r="L10" s="12" t="n">
        <x:f>IFERROR(H10/I10,0)</x:f>
        <x:v>0.23148148148148148</x:v>
      </x:c>
      <x:c r="M10" s="12" t="n">
        <x:f>IFERROR(26*J10,0)</x:f>
        <x:v>26</x:v>
      </x:c>
      <x:c r="N10" s="14" t="n">
        <x:f>IFERROR(L10/M10,0)</x:f>
        <x:v>0.008903133903133903</x:v>
      </x:c>
      <x:c r="O10" s="14" t="n">
        <x:v>0.6</x:v>
      </x:c>
      <x:c r="P10" s="9" t="n">
        <x:v>1</x:v>
      </x:c>
      <x:c r="Q10" s="9"/>
      <x:c r="R10" s="10" t="str">
        <x:f>IF(N10&gt;1,"Over capacity",IF(N10&gt;=0.85,"High load",IF(N10&gt;=0.5,"Normal","Low load")))</x:f>
        <x:v>Low load</x:v>
      </x:c>
    </x:row>
    <x:row r="11">
      <x:c r="A11" s="8" t="str">
        <x:v>80T产能1#</x:v>
      </x:c>
      <x:c r="B11" s="9" t="str">
        <x:v>80T No.1#</x:v>
      </x:c>
      <x:c r="C11" s="9"/>
      <x:c r="D11" s="9"/>
      <x:c r="E11" s="9" t="str">
        <x:v>Magnet.Loop</x:v>
      </x:c>
      <x:c r="F11" s="9"/>
      <x:c r="G11" s="9" t="str">
        <x:v>48187070AA</x:v>
      </x:c>
      <x:c r="H11" s="12" t="n">
        <x:v>115000</x:v>
      </x:c>
      <x:c r="I11" s="12" t="n">
        <x:v>54000</x:v>
      </x:c>
      <x:c r="J11" s="12" t="n">
        <x:v>1</x:v>
      </x:c>
      <x:c r="K11" s="12" t="n">
        <x:f>IFERROR(I11*26*J11,0)</x:f>
        <x:v>1404000</x:v>
      </x:c>
      <x:c r="L11" s="12" t="n">
        <x:f>IFERROR(H11/I11,0)</x:f>
        <x:v>2.1296296296296298</x:v>
      </x:c>
      <x:c r="M11" s="12" t="n">
        <x:f>IFERROR(26*J11,0)</x:f>
        <x:v>26</x:v>
      </x:c>
      <x:c r="N11" s="14" t="n">
        <x:f>IFERROR(L11/M11,0)</x:f>
        <x:v>0.08190883190883191</x:v>
      </x:c>
      <x:c r="O11" s="14" t="n">
        <x:v>0.6</x:v>
      </x:c>
      <x:c r="P11" s="9" t="n">
        <x:v>2</x:v>
      </x:c>
      <x:c r="Q11" s="9"/>
      <x:c r="R11" s="10" t="str">
        <x:f>IF(N11&gt;1,"Over capacity",IF(N11&gt;=0.85,"High load",IF(N11&gt;=0.5,"Normal","Low load")))</x:f>
        <x:v>Low load</x:v>
      </x:c>
    </x:row>
    <x:row r="12">
      <x:c r="A12" s="8" t="str">
        <x:v>80T产能1#</x:v>
      </x:c>
      <x:c r="B12" s="9" t="str">
        <x:v>80T No.1#</x:v>
      </x:c>
      <x:c r="C12" s="9"/>
      <x:c r="D12" s="9"/>
      <x:c r="E12" s="9" t="str">
        <x:v>Armature</x:v>
      </x:c>
      <x:c r="F12" s="9" t="str">
        <x:v>NT-21</x:v>
      </x:c>
      <x:c r="G12" s="9" t="str">
        <x:v>48187063</x:v>
      </x:c>
      <x:c r="H12" s="12" t="n">
        <x:v>310000</x:v>
      </x:c>
      <x:c r="I12" s="12" t="n">
        <x:v>43200</x:v>
      </x:c>
      <x:c r="J12" s="12" t="n">
        <x:v>1</x:v>
      </x:c>
      <x:c r="K12" s="12" t="n">
        <x:f>IFERROR(I12*26*J12,0)</x:f>
        <x:v>1123200</x:v>
      </x:c>
      <x:c r="L12" s="12" t="n">
        <x:f>IFERROR(H12/I12,0)</x:f>
        <x:v>7.175925925925926</x:v>
      </x:c>
      <x:c r="M12" s="12" t="n">
        <x:f>IFERROR(26*J12,0)</x:f>
        <x:v>26</x:v>
      </x:c>
      <x:c r="N12" s="14" t="n">
        <x:f>IFERROR(L12/M12,0)</x:f>
        <x:v>0.275997150997151</x:v>
      </x:c>
      <x:c r="O12" s="14" t="n">
        <x:v>0.6</x:v>
      </x:c>
      <x:c r="P12" s="9" t="n">
        <x:v>2</x:v>
      </x:c>
      <x:c r="Q12" s="9"/>
      <x:c r="R12" s="10" t="str">
        <x:f>IF(N12&gt;1,"Over capacity",IF(N12&gt;=0.85,"High load",IF(N12&gt;=0.5,"Normal","Low load")))</x:f>
        <x:v>Low load</x:v>
      </x:c>
    </x:row>
    <x:row r="13">
      <x:c r="A13" s="8" t="str">
        <x:v>80T产能1#</x:v>
      </x:c>
      <x:c r="B13" s="9" t="str">
        <x:v>80T No.1#</x:v>
      </x:c>
      <x:c r="C13" s="9"/>
      <x:c r="D13" s="9"/>
      <x:c r="E13" s="9" t="str">
        <x:v>Medium Arc Platel</x:v>
      </x:c>
      <x:c r="F13" s="9"/>
      <x:c r="G13" s="9" t="str">
        <x:v>48187097</x:v>
      </x:c>
      <x:c r="H13" s="12" t="n">
        <x:v>1250000</x:v>
      </x:c>
      <x:c r="I13" s="12" t="n">
        <x:v>91800</x:v>
      </x:c>
      <x:c r="J13" s="12" t="n">
        <x:v>1</x:v>
      </x:c>
      <x:c r="K13" s="12" t="n">
        <x:f>IFERROR(I13*26*J13,0)</x:f>
        <x:v>2386800</x:v>
      </x:c>
      <x:c r="L13" s="12" t="n">
        <x:f>IFERROR(H13/I13,0)</x:f>
        <x:v>13.616557734204793</x:v>
      </x:c>
      <x:c r="M13" s="12" t="n">
        <x:f>IFERROR(26*J13,0)</x:f>
        <x:v>26</x:v>
      </x:c>
      <x:c r="N13" s="14" t="n">
        <x:f>IFERROR(L13/M13,0)</x:f>
        <x:v>0.5237137590078766</x:v>
      </x:c>
      <x:c r="O13" s="14" t="n">
        <x:v>0.6</x:v>
      </x:c>
      <x:c r="P13" s="9" t="n">
        <x:v>3</x:v>
      </x:c>
      <x:c r="Q13" s="9"/>
      <x:c r="R13" s="10" t="str">
        <x:f>IF(N13&gt;1,"Over capacity",IF(N13&gt;=0.85,"High load",IF(N13&gt;=0.5,"Normal","Low load")))</x:f>
        <x:v>Normal</x:v>
      </x:c>
    </x:row>
    <x:row r="14">
      <x:c r="A14" s="8" t="str">
        <x:v>80T产能1#</x:v>
      </x:c>
      <x:c r="B14" s="9" t="str">
        <x:v>80T No.1#</x:v>
      </x:c>
      <x:c r="C14" s="9"/>
      <x:c r="D14" s="9"/>
      <x:c r="E14" s="9" t="str">
        <x:v>Arc Stack Top</x:v>
      </x:c>
      <x:c r="F14" s="9"/>
      <x:c r="G14" s="9" t="str">
        <x:v>48187104</x:v>
      </x:c>
      <x:c r="H14" s="12" t="n">
        <x:v>160000</x:v>
      </x:c>
      <x:c r="I14" s="12" t="n">
        <x:v>129600</x:v>
      </x:c>
      <x:c r="J14" s="12" t="n">
        <x:v>1</x:v>
      </x:c>
      <x:c r="K14" s="12" t="n">
        <x:f>IFERROR(I14*26*J14,0)</x:f>
        <x:v>3369600</x:v>
      </x:c>
      <x:c r="L14" s="12" t="n">
        <x:f>IFERROR(H14/I14,0)</x:f>
        <x:v>1.2345679012345678</x:v>
      </x:c>
      <x:c r="M14" s="12" t="n">
        <x:f>IFERROR(26*J14,0)</x:f>
        <x:v>26</x:v>
      </x:c>
      <x:c r="N14" s="14" t="n">
        <x:f>IFERROR(L14/M14,0)</x:f>
        <x:v>0.047483380816714146</x:v>
      </x:c>
      <x:c r="O14" s="14" t="n">
        <x:v>0.6</x:v>
      </x:c>
      <x:c r="P14" s="9" t="n">
        <x:v>4</x:v>
      </x:c>
      <x:c r="Q14" s="9"/>
      <x:c r="R14" s="10" t="str">
        <x:f>IF(N14&gt;1,"Over capacity",IF(N14&gt;=0.85,"High load",IF(N14&gt;=0.5,"Normal","Low load")))</x:f>
        <x:v>Low load</x:v>
      </x:c>
    </x:row>
    <x:row r="15">
      <x:c r="A15" s="8" t="str">
        <x:v>80T产能1#</x:v>
      </x:c>
      <x:c r="B15" s="9" t="str">
        <x:v>80T No.1#</x:v>
      </x:c>
      <x:c r="C15" s="9"/>
      <x:c r="D15" s="9"/>
      <x:c r="E15" s="9" t="str">
        <x:v>High Arc Plate</x:v>
      </x:c>
      <x:c r="F15" s="9"/>
      <x:c r="G15" s="9" t="str">
        <x:v>48187053</x:v>
      </x:c>
      <x:c r="H15" s="12"/>
      <x:c r="I15" s="12" t="n">
        <x:v>91800</x:v>
      </x:c>
      <x:c r="J15" s="12" t="n">
        <x:v>1</x:v>
      </x:c>
      <x:c r="K15" s="12" t="n">
        <x:f>IFERROR(I15*26*J15,0)</x:f>
        <x:v>2386800</x:v>
      </x:c>
      <x:c r="L15" s="12" t="n">
        <x:f>IFERROR(H15/I15,0)</x:f>
        <x:v>0</x:v>
      </x:c>
      <x:c r="M15" s="12" t="n">
        <x:f>IFERROR(26*J15,0)</x:f>
        <x:v>26</x:v>
      </x:c>
      <x:c r="N15" s="14" t="n">
        <x:f>IFERROR(L15/M15,0)</x:f>
        <x:v>0</x:v>
      </x:c>
      <x:c r="O15" s="14" t="n">
        <x:v>0.6</x:v>
      </x:c>
      <x:c r="P15" s="9" t="n">
        <x:v>3</x:v>
      </x:c>
      <x:c r="Q15" s="9"/>
      <x:c r="R15" s="10" t="str">
        <x:f>IF(N15&gt;1,"Over capacity",IF(N15&gt;=0.85,"High load",IF(N15&gt;=0.5,"Normal","Low load")))</x:f>
        <x:v>Low load</x:v>
      </x:c>
    </x:row>
    <x:row r="16">
      <x:c r="A16" s="8" t="str">
        <x:v>80T产能1#</x:v>
      </x:c>
      <x:c r="B16" s="9" t="str">
        <x:v>80T No.1#</x:v>
      </x:c>
      <x:c r="C16" s="9"/>
      <x:c r="D16" s="9"/>
      <x:c r="E16" s="9" t="str">
        <x:v>OutPut Phase Connector</x:v>
      </x:c>
      <x:c r="F16" s="9"/>
      <x:c r="G16" s="9" t="str">
        <x:v>GHM12023</x:v>
      </x:c>
      <x:c r="H16" s="12" t="n">
        <x:v>330000</x:v>
      </x:c>
      <x:c r="I16" s="12" t="n">
        <x:v>201600</x:v>
      </x:c>
      <x:c r="J16" s="12" t="n">
        <x:v>1</x:v>
      </x:c>
      <x:c r="K16" s="12" t="n">
        <x:f>IFERROR(I16*26*J16,0)</x:f>
        <x:v>5241600</x:v>
      </x:c>
      <x:c r="L16" s="12" t="n">
        <x:f>IFERROR(H16/I16,0)</x:f>
        <x:v>1.6369047619047619</x:v>
      </x:c>
      <x:c r="M16" s="12" t="n">
        <x:f>IFERROR(26*J16,0)</x:f>
        <x:v>26</x:v>
      </x:c>
      <x:c r="N16" s="14" t="n">
        <x:f>IFERROR(L16/M16,0)</x:f>
        <x:v>0.06295787545787546</x:v>
      </x:c>
      <x:c r="O16" s="14" t="n">
        <x:v>0.6</x:v>
      </x:c>
      <x:c r="P16" s="9" t="n">
        <x:v>8</x:v>
      </x:c>
      <x:c r="Q16" s="9"/>
      <x:c r="R16" s="10" t="str">
        <x:f>IF(N16&gt;1,"Over capacity",IF(N16&gt;=0.85,"High load",IF(N16&gt;=0.5,"Normal","Low load")))</x:f>
        <x:v>Low load</x:v>
      </x:c>
    </x:row>
    <x:row r="17">
      <x:c r="A17" s="8" t="str">
        <x:v>80T产能1#</x:v>
      </x:c>
      <x:c r="B17" s="9" t="str">
        <x:v>80T No.1#</x:v>
      </x:c>
      <x:c r="C17" s="9"/>
      <x:c r="D17" s="9"/>
      <x:c r="E17" s="9" t="str">
        <x:v>Coil Output B1</x:v>
      </x:c>
      <x:c r="F17" s="9"/>
      <x:c r="G17" s="9" t="str">
        <x:v>MFR73712</x:v>
      </x:c>
      <x:c r="H17" s="12" t="n">
        <x:v>3575</x:v>
      </x:c>
      <x:c r="I17" s="12" t="n">
        <x:v>43200</x:v>
      </x:c>
      <x:c r="J17" s="12" t="n">
        <x:v>1</x:v>
      </x:c>
      <x:c r="K17" s="12" t="n">
        <x:f>IFERROR(I17*26*J17,0)</x:f>
        <x:v>1123200</x:v>
      </x:c>
      <x:c r="L17" s="12" t="n">
        <x:f>IFERROR(H17/I17,0)</x:f>
        <x:v>0.08275462962962964</x:v>
      </x:c>
      <x:c r="M17" s="12" t="n">
        <x:f>IFERROR(26*J17,0)</x:f>
        <x:v>26</x:v>
      </x:c>
      <x:c r="N17" s="14" t="n">
        <x:f>IFERROR(L17/M17,0)</x:f>
        <x:v>0.0031828703703703706</x:v>
      </x:c>
      <x:c r="O17" s="14" t="n">
        <x:v>0.6</x:v>
      </x:c>
      <x:c r="P17" s="9" t="n">
        <x:v>2</x:v>
      </x:c>
      <x:c r="Q17" s="9"/>
      <x:c r="R17" s="10" t="str">
        <x:f>IF(N17&gt;1,"Over capacity",IF(N17&gt;=0.85,"High load",IF(N17&gt;=0.5,"Normal","Low load")))</x:f>
        <x:v>Low load</x:v>
      </x:c>
    </x:row>
    <x:row r="18">
      <x:c r="A18" s="8" t="str">
        <x:v>80T产能1#</x:v>
      </x:c>
      <x:c r="B18" s="9" t="str">
        <x:v>80T No.1#</x:v>
      </x:c>
      <x:c r="C18" s="9"/>
      <x:c r="D18" s="9"/>
      <x:c r="E18" s="9" t="str">
        <x:v>Coil Output B2</x:v>
      </x:c>
      <x:c r="F18" s="9"/>
      <x:c r="G18" s="9" t="str">
        <x:v>MFR73713</x:v>
      </x:c>
      <x:c r="H18" s="12" t="n">
        <x:v>3575</x:v>
      </x:c>
      <x:c r="I18" s="12" t="n">
        <x:v>43200</x:v>
      </x:c>
      <x:c r="J18" s="12" t="n">
        <x:v>1</x:v>
      </x:c>
      <x:c r="K18" s="12" t="n">
        <x:f>IFERROR(I18*26*J18,0)</x:f>
        <x:v>1123200</x:v>
      </x:c>
      <x:c r="L18" s="12" t="n">
        <x:f>IFERROR(H18/I18,0)</x:f>
        <x:v>0.08275462962962964</x:v>
      </x:c>
      <x:c r="M18" s="12" t="n">
        <x:f>IFERROR(26*J18,0)</x:f>
        <x:v>26</x:v>
      </x:c>
      <x:c r="N18" s="14" t="n">
        <x:f>IFERROR(L18/M18,0)</x:f>
        <x:v>0.0031828703703703706</x:v>
      </x:c>
      <x:c r="O18" s="14" t="n">
        <x:v>0.6</x:v>
      </x:c>
      <x:c r="P18" s="9" t="n">
        <x:v>2</x:v>
      </x:c>
      <x:c r="Q18" s="9"/>
      <x:c r="R18" s="10" t="str">
        <x:f>IF(N18&gt;1,"Over capacity",IF(N18&gt;=0.85,"High load",IF(N18&gt;=0.5,"Normal","Low load")))</x:f>
        <x:v>Low load</x:v>
      </x:c>
    </x:row>
    <x:row r="19">
      <x:c r="A19" s="8" t="str">
        <x:v>80T产能1#</x:v>
      </x:c>
      <x:c r="B19" s="9" t="str">
        <x:v>80T No.1#</x:v>
      </x:c>
      <x:c r="C19" s="9"/>
      <x:c r="D19" s="9"/>
      <x:c r="E19" s="9" t="str">
        <x:v>Arc Stack Plate</x:v>
      </x:c>
      <x:c r="F19" s="9"/>
      <x:c r="G19" s="9" t="str">
        <x:v>48187199</x:v>
      </x:c>
      <x:c r="H19" s="12" t="n">
        <x:v>140000</x:v>
      </x:c>
      <x:c r="I19" s="12" t="n">
        <x:v>91800</x:v>
      </x:c>
      <x:c r="J19" s="12" t="n">
        <x:v>2</x:v>
      </x:c>
      <x:c r="K19" s="12" t="n">
        <x:f>IFERROR(I19*26*J19,0)</x:f>
        <x:v>4773600</x:v>
      </x:c>
      <x:c r="L19" s="12" t="n">
        <x:f>IFERROR(H19/I19,0)</x:f>
        <x:v>1.5250544662309369</x:v>
      </x:c>
      <x:c r="M19" s="12" t="n">
        <x:f>IFERROR(26*J19,0)</x:f>
        <x:v>52</x:v>
      </x:c>
      <x:c r="N19" s="14" t="n">
        <x:f>IFERROR(L19/M19,0)</x:f>
        <x:v>0.029327970504441095</x:v>
      </x:c>
      <x:c r="O19" s="14" t="n">
        <x:v>0.6</x:v>
      </x:c>
      <x:c r="P19" s="9" t="n">
        <x:v>3</x:v>
      </x:c>
      <x:c r="Q19" s="9"/>
      <x:c r="R19" s="10" t="str">
        <x:f>IF(N19&gt;1,"Over capacity",IF(N19&gt;=0.85,"High load",IF(N19&gt;=0.5,"Normal","Low load")))</x:f>
        <x:v>Low load</x:v>
      </x:c>
    </x:row>
    <x:row r="20">
      <x:c r="A20" s="8" t="str">
        <x:v>80T高速冲产能2#</x:v>
      </x:c>
      <x:c r="B20" s="9" t="str">
        <x:v>80T NO.</x:v>
      </x:c>
      <x:c r="C20" s="9"/>
      <x:c r="D20" s="9"/>
      <x:c r="E20" s="9" t="str">
        <x:v>GV2 Arc Plate</x:v>
      </x:c>
      <x:c r="F20" s="9" t="str">
        <x:v>NT-21</x:v>
      </x:c>
      <x:c r="G20" s="9" t="str">
        <x:v>W113893530111</x:v>
      </x:c>
      <x:c r="H20" s="12" t="n">
        <x:v>4000000</x:v>
      </x:c>
      <x:c r="I20" s="12" t="n">
        <x:v>547200</x:v>
      </x:c>
      <x:c r="J20" s="12" t="n">
        <x:v>1</x:v>
      </x:c>
      <x:c r="K20" s="12" t="n">
        <x:f>IFERROR(I20*26*J20,0)</x:f>
        <x:v>14227200</x:v>
      </x:c>
      <x:c r="L20" s="12" t="n">
        <x:f>IFERROR(H20/I20,0)</x:f>
        <x:v>7.309941520467836</x:v>
      </x:c>
      <x:c r="M20" s="12" t="n">
        <x:f>IFERROR(26*J20,0)</x:f>
        <x:v>26</x:v>
      </x:c>
      <x:c r="N20" s="14" t="n">
        <x:f>IFERROR(L20/M20,0)</x:f>
        <x:v>0.2811515969410706</x:v>
      </x:c>
      <x:c r="O20" s="14" t="n">
        <x:v>0.6</x:v>
      </x:c>
      <x:c r="P20" s="9" t="n">
        <x:v>8</x:v>
      </x:c>
      <x:c r="Q20" s="9"/>
      <x:c r="R20" s="10" t="str">
        <x:f>IF(N20&gt;1,"Over capacity",IF(N20&gt;=0.85,"High load",IF(N20&gt;=0.5,"Normal","Low load")))</x:f>
        <x:v>Low load</x:v>
      </x:c>
    </x:row>
    <x:row r="21">
      <x:c r="A21" s="8" t="str">
        <x:v>80T高速冲产能2#</x:v>
      </x:c>
      <x:c r="B21" s="9" t="str">
        <x:v>80T NO.</x:v>
      </x:c>
      <x:c r="C21" s="9"/>
      <x:c r="D21" s="9"/>
      <x:c r="E21" s="9" t="str">
        <x:v>Arc Plate</x:v>
      </x:c>
      <x:c r="F21" s="9"/>
      <x:c r="G21" s="9" t="str">
        <x:v>51207117AD1</x:v>
      </x:c>
      <x:c r="H21" s="12" t="n">
        <x:v>0</x:v>
      </x:c>
      <x:c r="I21" s="12" t="n">
        <x:v>1197000</x:v>
      </x:c>
      <x:c r="J21" s="12" t="n">
        <x:v>1</x:v>
      </x:c>
      <x:c r="K21" s="12" t="n">
        <x:f>IFERROR(I21*26*J21,0)</x:f>
        <x:v>31122000</x:v>
      </x:c>
      <x:c r="L21" s="12" t="n">
        <x:f>IFERROR(H21/I21,0)</x:f>
        <x:v>0</x:v>
      </x:c>
      <x:c r="M21" s="12" t="n">
        <x:f>IFERROR(26*J21,0)</x:f>
        <x:v>26</x:v>
      </x:c>
      <x:c r="N21" s="14" t="n">
        <x:f>IFERROR(L21/M21,0)</x:f>
        <x:v>0</x:v>
      </x:c>
      <x:c r="O21" s="14" t="n">
        <x:v>0.75</x:v>
      </x:c>
      <x:c r="P21" s="9" t="n">
        <x:v>14</x:v>
      </x:c>
      <x:c r="Q21" s="9"/>
      <x:c r="R21" s="10" t="str">
        <x:f>IF(N21&gt;1,"Over capacity",IF(N21&gt;=0.85,"High load",IF(N21&gt;=0.5,"Normal","Low load")))</x:f>
        <x:v>Low load</x:v>
      </x:c>
    </x:row>
    <x:row r="22">
      <x:c r="A22" s="8" t="str">
        <x:v>80T高速冲产能2#</x:v>
      </x:c>
      <x:c r="B22" s="9" t="str">
        <x:v>80T NO.</x:v>
      </x:c>
      <x:c r="C22" s="9"/>
      <x:c r="D22" s="9"/>
      <x:c r="E22" s="9" t="str">
        <x:v>Input Connector</x:v>
      </x:c>
      <x:c r="F22" s="9"/>
      <x:c r="G22" s="9" t="str">
        <x:v>51207042AA</x:v>
      </x:c>
      <x:c r="H22" s="12" t="n">
        <x:v>400000</x:v>
      </x:c>
      <x:c r="I22" s="12" t="n">
        <x:v>115200</x:v>
      </x:c>
      <x:c r="J22" s="12" t="n">
        <x:v>1</x:v>
      </x:c>
      <x:c r="K22" s="12" t="n">
        <x:f>IFERROR(I22*26*J22,0)</x:f>
        <x:v>2995200</x:v>
      </x:c>
      <x:c r="L22" s="12" t="n">
        <x:f>IFERROR(H22/I22,0)</x:f>
        <x:v>3.4722222222222223</x:v>
      </x:c>
      <x:c r="M22" s="12" t="n">
        <x:f>IFERROR(26*J22,0)</x:f>
        <x:v>26</x:v>
      </x:c>
      <x:c r="N22" s="14" t="n">
        <x:f>IFERROR(L22/M22,0)</x:f>
        <x:v>0.13354700854700854</x:v>
      </x:c>
      <x:c r="O22" s="14" t="n">
        <x:v>0.6</x:v>
      </x:c>
      <x:c r="P22" s="9" t="n">
        <x:v>2</x:v>
      </x:c>
      <x:c r="Q22" s="9"/>
      <x:c r="R22" s="10" t="str">
        <x:f>IF(N22&gt;1,"Over capacity",IF(N22&gt;=0.85,"High load",IF(N22&gt;=0.5,"Normal","Low load")))</x:f>
        <x:v>Low load</x:v>
      </x:c>
    </x:row>
    <x:row r="23">
      <x:c r="A23" s="8" t="str">
        <x:v>80T高速冲产能2#</x:v>
      </x:c>
      <x:c r="B23" s="9" t="str">
        <x:v>80T NO.</x:v>
      </x:c>
      <x:c r="C23" s="9"/>
      <x:c r="D23" s="9"/>
      <x:c r="E23" s="9"/>
      <x:c r="F23" s="9" t="str">
        <x:v>NT-23</x:v>
      </x:c>
      <x:c r="G23" s="9" t="str">
        <x:v>72570400</x:v>
      </x:c>
      <x:c r="H23" s="12" t="n">
        <x:v>4712400</x:v>
      </x:c>
      <x:c r="I23" s="12" t="n">
        <x:v>1080000</x:v>
      </x:c>
      <x:c r="J23" s="12" t="n">
        <x:v>1</x:v>
      </x:c>
      <x:c r="K23" s="12" t="n">
        <x:f>IFERROR(I23*26*J23,0)</x:f>
        <x:v>28080000</x:v>
      </x:c>
      <x:c r="L23" s="12" t="n">
        <x:f>IFERROR(H23/I23,0)</x:f>
        <x:v>4.363333333333333</x:v>
      </x:c>
      <x:c r="M23" s="12" t="n">
        <x:f>IFERROR(26*J23,0)</x:f>
        <x:v>26</x:v>
      </x:c>
      <x:c r="N23" s="14" t="n">
        <x:f>IFERROR(L23/M23,0)</x:f>
        <x:v>0.16782051282051283</x:v>
      </x:c>
      <x:c r="O23" s="14" t="n">
        <x:v>0.75</x:v>
      </x:c>
      <x:c r="P23" s="9" t="n">
        <x:v>12</x:v>
      </x:c>
      <x:c r="Q23" s="9"/>
      <x:c r="R23" s="10" t="str">
        <x:f>IF(N23&gt;1,"Over capacity",IF(N23&gt;=0.85,"High load",IF(N23&gt;=0.5,"Normal","Low load")))</x:f>
        <x:v>Low load</x:v>
      </x:c>
    </x:row>
    <x:row r="24">
      <x:c r="A24" s="8" t="str">
        <x:v>80T高速冲产能2#</x:v>
      </x:c>
      <x:c r="B24" s="9" t="str">
        <x:v>80T NO.</x:v>
      </x:c>
      <x:c r="C24" s="9"/>
      <x:c r="D24" s="9"/>
      <x:c r="E24" s="9"/>
      <x:c r="F24" s="9"/>
      <x:c r="G24" s="9" t="str">
        <x:v>S1B13952</x:v>
      </x:c>
      <x:c r="H24" s="12" t="n">
        <x:v>297632</x:v>
      </x:c>
      <x:c r="I24" s="12" t="n">
        <x:v>90000</x:v>
      </x:c>
      <x:c r="J24" s="12" t="n">
        <x:v>1</x:v>
      </x:c>
      <x:c r="K24" s="12" t="n">
        <x:f>IFERROR(I24*26*J24,0)</x:f>
        <x:v>2340000</x:v>
      </x:c>
      <x:c r="L24" s="12" t="n">
        <x:f>IFERROR(H24/I24,0)</x:f>
        <x:v>3.3070222222222223</x:v>
      </x:c>
      <x:c r="M24" s="12" t="n">
        <x:f>IFERROR(26*J24,0)</x:f>
        <x:v>26</x:v>
      </x:c>
      <x:c r="N24" s="14" t="n">
        <x:f>IFERROR(L24/M24,0)</x:f>
        <x:v>0.1271931623931624</x:v>
      </x:c>
      <x:c r="O24" s="14" t="n">
        <x:v>0.75</x:v>
      </x:c>
      <x:c r="P24" s="9" t="n">
        <x:v>2</x:v>
      </x:c>
      <x:c r="Q24" s="9"/>
      <x:c r="R24" s="10" t="str">
        <x:f>IF(N24&gt;1,"Over capacity",IF(N24&gt;=0.85,"High load",IF(N24&gt;=0.5,"Normal","Low load")))</x:f>
        <x:v>Low load</x:v>
      </x:c>
    </x:row>
    <x:row r="25">
      <x:c r="A25" s="8" t="str">
        <x:v>110T产能3#</x:v>
      </x:c>
      <x:c r="B25" s="9" t="str">
        <x:v>110T 按10H</x:v>
      </x:c>
      <x:c r="C25" s="9"/>
      <x:c r="D25" s="9"/>
      <x:c r="E25" s="9" t="str">
        <x:v>金属支架</x:v>
      </x:c>
      <x:c r="F25" s="9" t="str">
        <x:v>NT-20</x:v>
      </x:c>
      <x:c r="G25" s="9" t="str">
        <x:v>51207070</x:v>
      </x:c>
      <x:c r="H25" s="12" t="n">
        <x:v>3000000</x:v>
      </x:c>
      <x:c r="I25" s="12" t="n">
        <x:v>96000</x:v>
      </x:c>
      <x:c r="J25" s="12" t="n">
        <x:v>2</x:v>
      </x:c>
      <x:c r="K25" s="12" t="n">
        <x:f>IFERROR(I25*26*J25,0)</x:f>
        <x:v>4992000</x:v>
      </x:c>
      <x:c r="L25" s="12" t="n">
        <x:f>IFERROR(H25/I25,0)</x:f>
        <x:v>31.25</x:v>
      </x:c>
      <x:c r="M25" s="12" t="n">
        <x:f>IFERROR(26*J25,0)</x:f>
        <x:v>52</x:v>
      </x:c>
      <x:c r="N25" s="14" t="n">
        <x:f>IFERROR(L25/M25,0)</x:f>
        <x:v>0.6009615384615384</x:v>
      </x:c>
      <x:c r="O25" s="14" t="n">
        <x:v>0.8</x:v>
      </x:c>
      <x:c r="P25" s="9" t="n">
        <x:v>2</x:v>
      </x:c>
      <x:c r="Q25" s="9"/>
      <x:c r="R25" s="10" t="str">
        <x:f>IF(N25&gt;1,"Over capacity",IF(N25&gt;=0.85,"High load",IF(N25&gt;=0.5,"Normal","Low load")))</x:f>
        <x:v>Normal</x:v>
      </x:c>
    </x:row>
    <x:row r="26">
      <x:c r="A26" s="8" t="str">
        <x:v>110T产能3#</x:v>
      </x:c>
      <x:c r="B26" s="9" t="str">
        <x:v>110T 按10H</x:v>
      </x:c>
      <x:c r="C26" s="9"/>
      <x:c r="D26" s="9"/>
      <x:c r="E26" s="9" t="str">
        <x:v>High Arc Plate</x:v>
      </x:c>
      <x:c r="F26" s="9"/>
      <x:c r="G26" s="9" t="str">
        <x:v>48187053</x:v>
      </x:c>
      <x:c r="H26" s="12" t="n">
        <x:v>1250000</x:v>
      </x:c>
      <x:c r="I26" s="12" t="n">
        <x:v>91800</x:v>
      </x:c>
      <x:c r="J26" s="12" t="n">
        <x:v>2</x:v>
      </x:c>
      <x:c r="K26" s="12" t="n">
        <x:f>IFERROR(I26*26*J26,0)</x:f>
        <x:v>4773600</x:v>
      </x:c>
      <x:c r="L26" s="12" t="n">
        <x:f>IFERROR(H26/I26,0)</x:f>
        <x:v>13.616557734204793</x:v>
      </x:c>
      <x:c r="M26" s="12" t="n">
        <x:f>IFERROR(26*J26,0)</x:f>
        <x:v>52</x:v>
      </x:c>
      <x:c r="N26" s="14" t="n">
        <x:f>IFERROR(L26/M26,0)</x:f>
        <x:v>0.2618568795039383</x:v>
      </x:c>
      <x:c r="O26" s="14" t="n">
        <x:v>0.6</x:v>
      </x:c>
      <x:c r="P26" s="9" t="n">
        <x:v>3</x:v>
      </x:c>
      <x:c r="Q26" s="9"/>
      <x:c r="R26" s="10" t="str">
        <x:f>IF(N26&gt;1,"Over capacity",IF(N26&gt;=0.85,"High load",IF(N26&gt;=0.5,"Normal","Low load")))</x:f>
        <x:v>Low load</x:v>
      </x:c>
    </x:row>
    <x:row r="27">
      <x:c r="A27" s="8" t="str">
        <x:v>110T产能3#</x:v>
      </x:c>
      <x:c r="B27" s="9" t="str">
        <x:v>110T 按10H</x:v>
      </x:c>
      <x:c r="C27" s="9"/>
      <x:c r="D27" s="9"/>
      <x:c r="E27" s="9" t="str">
        <x:v>SPACER PLATE 1</x:v>
      </x:c>
      <x:c r="F27" s="9"/>
      <x:c r="G27" s="9" t="str">
        <x:v>SB-092B-1-4</x:v>
      </x:c>
      <x:c r="H27" s="12" t="n">
        <x:v>2210</x:v>
      </x:c>
      <x:c r="I27" s="12" t="n">
        <x:v>9000</x:v>
      </x:c>
      <x:c r="J27" s="12" t="n">
        <x:v>2</x:v>
      </x:c>
      <x:c r="K27" s="12" t="n">
        <x:f>IFERROR(I27*26*J27,0)</x:f>
        <x:v>468000</x:v>
      </x:c>
      <x:c r="L27" s="12" t="n">
        <x:f>IFERROR(H27/I27,0)</x:f>
        <x:v>0.24555555555555555</x:v>
      </x:c>
      <x:c r="M27" s="12" t="n">
        <x:f>IFERROR(26*J27,0)</x:f>
        <x:v>52</x:v>
      </x:c>
      <x:c r="N27" s="14" t="n">
        <x:f>IFERROR(L27/M27,0)</x:f>
        <x:v>0.004722222222222222</x:v>
      </x:c>
      <x:c r="O27" s="14" t="n">
        <x:v>0.6</x:v>
      </x:c>
      <x:c r="P27" s="9" t="n">
        <x:v>1</x:v>
      </x:c>
      <x:c r="Q27" s="9"/>
      <x:c r="R27" s="10" t="str">
        <x:f>IF(N27&gt;1,"Over capacity",IF(N27&gt;=0.85,"High load",IF(N27&gt;=0.5,"Normal","Low load")))</x:f>
        <x:v>Low load</x:v>
      </x:c>
    </x:row>
    <x:row r="28">
      <x:c r="A28" s="8" t="str">
        <x:v>110T产能3#</x:v>
      </x:c>
      <x:c r="B28" s="9" t="str">
        <x:v>110T 按10H</x:v>
      </x:c>
      <x:c r="C28" s="9"/>
      <x:c r="D28" s="9"/>
      <x:c r="E28" s="9" t="str">
        <x:v>PLATE</x:v>
      </x:c>
      <x:c r="F28" s="9"/>
      <x:c r="G28" s="9" t="str">
        <x:v>1186500-AA</x:v>
      </x:c>
      <x:c r="H28" s="12" t="n">
        <x:v>1050</x:v>
      </x:c>
      <x:c r="I28" s="12" t="n">
        <x:v>32400</x:v>
      </x:c>
      <x:c r="J28" s="12" t="n">
        <x:v>2</x:v>
      </x:c>
      <x:c r="K28" s="12" t="n">
        <x:f>IFERROR(I28*26*J28,0)</x:f>
        <x:v>1684800</x:v>
      </x:c>
      <x:c r="L28" s="12" t="n">
        <x:f>IFERROR(H28/I28,0)</x:f>
        <x:v>0.032407407407407406</x:v>
      </x:c>
      <x:c r="M28" s="12" t="n">
        <x:f>IFERROR(26*J28,0)</x:f>
        <x:v>52</x:v>
      </x:c>
      <x:c r="N28" s="14" t="n">
        <x:f>IFERROR(L28/M28,0)</x:f>
        <x:v>0.0006232193732193732</x:v>
      </x:c>
      <x:c r="O28" s="14" t="n">
        <x:v>0.6</x:v>
      </x:c>
      <x:c r="P28" s="9" t="n">
        <x:v>1</x:v>
      </x:c>
      <x:c r="Q28" s="9"/>
      <x:c r="R28" s="10" t="str">
        <x:f>IF(N28&gt;1,"Over capacity",IF(N28&gt;=0.85,"High load",IF(N28&gt;=0.5,"Normal","Low load")))</x:f>
        <x:v>Low load</x:v>
      </x:c>
    </x:row>
    <x:row r="29">
      <x:c r="A29" s="8" t="str">
        <x:v>110T产能3#</x:v>
      </x:c>
      <x:c r="B29" s="9" t="str">
        <x:v>110T 按10H</x:v>
      </x:c>
      <x:c r="C29" s="9"/>
      <x:c r="D29" s="9"/>
      <x:c r="E29" s="9"/>
      <x:c r="F29" s="9" t="str">
        <x:v>NT-23</x:v>
      </x:c>
      <x:c r="G29" s="9" t="str">
        <x:v>W113890070111</x:v>
      </x:c>
      <x:c r="H29" s="12" t="n">
        <x:v>256033.75</x:v>
      </x:c>
      <x:c r="I29" s="12" t="n">
        <x:v>129600</x:v>
      </x:c>
      <x:c r="J29" s="12" t="n">
        <x:v>2</x:v>
      </x:c>
      <x:c r="K29" s="12" t="n">
        <x:f>IFERROR(I29*26*J29,0)</x:f>
        <x:v>6739200</x:v>
      </x:c>
      <x:c r="L29" s="12" t="n">
        <x:f>IFERROR(H29/I29,0)</x:f>
        <x:v>1.9755690586419754</x:v>
      </x:c>
      <x:c r="M29" s="12" t="n">
        <x:f>IFERROR(26*J29,0)</x:f>
        <x:v>52</x:v>
      </x:c>
      <x:c r="N29" s="14" t="n">
        <x:f>IFERROR(L29/M29,0)</x:f>
        <x:v>0.037991712666191835</x:v>
      </x:c>
      <x:c r="O29" s="14" t="n">
        <x:v>0.6</x:v>
      </x:c>
      <x:c r="P29" s="9" t="n">
        <x:v>6</x:v>
      </x:c>
      <x:c r="Q29" s="9"/>
      <x:c r="R29" s="10" t="str">
        <x:f>IF(N29&gt;1,"Over capacity",IF(N29&gt;=0.85,"High load",IF(N29&gt;=0.5,"Normal","Low load")))</x:f>
        <x:v>Low load</x:v>
      </x:c>
    </x:row>
    <x:row r="30">
      <x:c r="A30" s="8" t="str">
        <x:v>110T产能3#</x:v>
      </x:c>
      <x:c r="B30" s="9" t="str">
        <x:v>110T 按10H</x:v>
      </x:c>
      <x:c r="C30" s="9"/>
      <x:c r="D30" s="9"/>
      <x:c r="E30" s="9"/>
      <x:c r="F30" s="9"/>
      <x:c r="G30" s="9" t="str">
        <x:v>W113890870111</x:v>
      </x:c>
      <x:c r="H30" s="12" t="n">
        <x:v>73771.5</x:v>
      </x:c>
      <x:c r="I30" s="12" t="n">
        <x:v>129600</x:v>
      </x:c>
      <x:c r="J30" s="12" t="n">
        <x:v>2</x:v>
      </x:c>
      <x:c r="K30" s="12" t="n">
        <x:f>IFERROR(I30*26*J30,0)</x:f>
        <x:v>6739200</x:v>
      </x:c>
      <x:c r="L30" s="12" t="n">
        <x:f>IFERROR(H30/I30,0)</x:f>
        <x:v>0.569224537037037</x:v>
      </x:c>
      <x:c r="M30" s="12" t="n">
        <x:f>IFERROR(26*J30,0)</x:f>
        <x:v>52</x:v>
      </x:c>
      <x:c r="N30" s="14" t="n">
        <x:f>IFERROR(L30/M30,0)</x:f>
        <x:v>0.010946625712250711</x:v>
      </x:c>
      <x:c r="O30" s="14" t="n">
        <x:v>0.6</x:v>
      </x:c>
      <x:c r="P30" s="9" t="n">
        <x:v>6</x:v>
      </x:c>
      <x:c r="Q30" s="9"/>
      <x:c r="R30" s="10" t="str">
        <x:f>IF(N30&gt;1,"Over capacity",IF(N30&gt;=0.85,"High load",IF(N30&gt;=0.5,"Normal","Low load")))</x:f>
        <x:v>Low load</x:v>
      </x:c>
    </x:row>
    <x:row r="31">
      <x:c r="A31" s="8" t="str">
        <x:v>110T产能3#</x:v>
      </x:c>
      <x:c r="B31" s="9" t="str">
        <x:v>110T 按10H</x:v>
      </x:c>
      <x:c r="C31" s="9"/>
      <x:c r="D31" s="9"/>
      <x:c r="E31" s="9" t="str">
        <x:v>CT3 Tetra A1 Coil Screw Terminal A1</x:v>
      </x:c>
      <x:c r="F31" s="9" t="str">
        <x:v>SEMB</x:v>
      </x:c>
      <x:c r="G31" s="9" t="str">
        <x:v>W117239700111</x:v>
      </x:c>
      <x:c r="H31" s="12" t="n">
        <x:v>4833.33</x:v>
      </x:c>
      <x:c r="I31" s="12" t="n">
        <x:v>21600</x:v>
      </x:c>
      <x:c r="J31" s="12" t="n">
        <x:v>2</x:v>
      </x:c>
      <x:c r="K31" s="12" t="n">
        <x:f>IFERROR(I31*26*J31,0)</x:f>
        <x:v>1123200</x:v>
      </x:c>
      <x:c r="L31" s="12" t="n">
        <x:f>IFERROR(H31/I31,0)</x:f>
        <x:v>0.22376527777777777</x:v>
      </x:c>
      <x:c r="M31" s="12" t="n">
        <x:f>IFERROR(26*J31,0)</x:f>
        <x:v>52</x:v>
      </x:c>
      <x:c r="N31" s="14" t="n">
        <x:f>IFERROR(L31/M31,0)</x:f>
        <x:v>0.0043031784188034185</x:v>
      </x:c>
      <x:c r="O31" s="14" t="n">
        <x:v>0.6</x:v>
      </x:c>
      <x:c r="P31" s="9" t="n">
        <x:v>1</x:v>
      </x:c>
      <x:c r="Q31" s="9"/>
      <x:c r="R31" s="10" t="str">
        <x:f>IF(N31&gt;1,"Over capacity",IF(N31&gt;=0.85,"High load",IF(N31&gt;=0.5,"Normal","Low load")))</x:f>
        <x:v>Low load</x:v>
      </x:c>
    </x:row>
    <x:row r="32">
      <x:c r="A32" s="8" t="str">
        <x:v>110T产能3#</x:v>
      </x:c>
      <x:c r="B32" s="9" t="str">
        <x:v>110T 按10H</x:v>
      </x:c>
      <x:c r="C32" s="9"/>
      <x:c r="D32" s="9"/>
      <x:c r="E32" s="9" t="str">
        <x:v>CT3 Tetra A1 Coil Screw Terminal A2</x:v>
      </x:c>
      <x:c r="F32" s="9"/>
      <x:c r="G32" s="9" t="str">
        <x:v>W117239710111</x:v>
      </x:c>
      <x:c r="H32" s="12" t="n">
        <x:v>4833.33</x:v>
      </x:c>
      <x:c r="I32" s="12" t="n">
        <x:v>21600</x:v>
      </x:c>
      <x:c r="J32" s="12" t="n">
        <x:v>2</x:v>
      </x:c>
      <x:c r="K32" s="12" t="n">
        <x:f>IFERROR(I32*26*J32,0)</x:f>
        <x:v>1123200</x:v>
      </x:c>
      <x:c r="L32" s="12" t="n">
        <x:f>IFERROR(H32/I32,0)</x:f>
        <x:v>0.22376527777777777</x:v>
      </x:c>
      <x:c r="M32" s="12" t="n">
        <x:f>IFERROR(26*J32,0)</x:f>
        <x:v>52</x:v>
      </x:c>
      <x:c r="N32" s="14" t="n">
        <x:f>IFERROR(L32/M32,0)</x:f>
        <x:v>0.0043031784188034185</x:v>
      </x:c>
      <x:c r="O32" s="14" t="n">
        <x:v>0.6</x:v>
      </x:c>
      <x:c r="P32" s="9" t="n">
        <x:v>1</x:v>
      </x:c>
      <x:c r="Q32" s="9"/>
      <x:c r="R32" s="10" t="str">
        <x:f>IF(N32&gt;1,"Over capacity",IF(N32&gt;=0.85,"High load",IF(N32&gt;=0.5,"Normal","Low load")))</x:f>
        <x:v>Low load</x:v>
      </x:c>
    </x:row>
    <x:row r="33">
      <x:c r="A33" s="8" t="str">
        <x:v>110T产能3#</x:v>
      </x:c>
      <x:c r="B33" s="9" t="str">
        <x:v>110T 按10H</x:v>
      </x:c>
      <x:c r="C33" s="9"/>
      <x:c r="D33" s="9"/>
      <x:c r="E33" s="9" t="str">
        <x:v>Coil Output A1</x:v>
      </x:c>
      <x:c r="F33" s="9"/>
      <x:c r="G33" s="9" t="str">
        <x:v>MFR73710</x:v>
      </x:c>
      <x:c r="H33" s="12" t="n">
        <x:v>3575</x:v>
      </x:c>
      <x:c r="I33" s="12" t="n">
        <x:v>39600</x:v>
      </x:c>
      <x:c r="J33" s="12" t="n">
        <x:v>2</x:v>
      </x:c>
      <x:c r="K33" s="12" t="n">
        <x:f>IFERROR(I33*26*J33,0)</x:f>
        <x:v>2059200</x:v>
      </x:c>
      <x:c r="L33" s="12" t="n">
        <x:f>IFERROR(H33/I33,0)</x:f>
        <x:v>0.09027777777777778</x:v>
      </x:c>
      <x:c r="M33" s="12" t="n">
        <x:f>IFERROR(26*J33,0)</x:f>
        <x:v>52</x:v>
      </x:c>
      <x:c r="N33" s="14" t="n">
        <x:f>IFERROR(L33/M33,0)</x:f>
        <x:v>0.001736111111111111</x:v>
      </x:c>
      <x:c r="O33" s="14" t="n">
        <x:v>0.6</x:v>
      </x:c>
      <x:c r="P33" s="9" t="n">
        <x:v>2</x:v>
      </x:c>
      <x:c r="Q33" s="9"/>
      <x:c r="R33" s="10" t="str">
        <x:f>IF(N33&gt;1,"Over capacity",IF(N33&gt;=0.85,"High load",IF(N33&gt;=0.5,"Normal","Low load")))</x:f>
        <x:v>Low load</x:v>
      </x:c>
    </x:row>
    <x:row r="34">
      <x:c r="A34" s="8" t="str">
        <x:v>110T产能3#</x:v>
      </x:c>
      <x:c r="B34" s="9" t="str">
        <x:v>110T 按10H</x:v>
      </x:c>
      <x:c r="C34" s="9"/>
      <x:c r="D34" s="9"/>
      <x:c r="E34" s="9" t="str">
        <x:v>Coil Output A2</x:v>
      </x:c>
      <x:c r="F34" s="9"/>
      <x:c r="G34" s="9" t="str">
        <x:v>MFR73711</x:v>
      </x:c>
      <x:c r="H34" s="12" t="n">
        <x:v>3575</x:v>
      </x:c>
      <x:c r="I34" s="12" t="n">
        <x:v>39600</x:v>
      </x:c>
      <x:c r="J34" s="12" t="n">
        <x:v>2</x:v>
      </x:c>
      <x:c r="K34" s="12" t="n">
        <x:f>IFERROR(I34*26*J34,0)</x:f>
        <x:v>2059200</x:v>
      </x:c>
      <x:c r="L34" s="12" t="n">
        <x:f>IFERROR(H34/I34,0)</x:f>
        <x:v>0.09027777777777778</x:v>
      </x:c>
      <x:c r="M34" s="12" t="n">
        <x:f>IFERROR(26*J34,0)</x:f>
        <x:v>52</x:v>
      </x:c>
      <x:c r="N34" s="14" t="n">
        <x:f>IFERROR(L34/M34,0)</x:f>
        <x:v>0.001736111111111111</x:v>
      </x:c>
      <x:c r="O34" s="14" t="n">
        <x:v>0.6</x:v>
      </x:c>
      <x:c r="P34" s="9" t="n">
        <x:v>2</x:v>
      </x:c>
      <x:c r="Q34" s="9"/>
      <x:c r="R34" s="10" t="str">
        <x:f>IF(N34&gt;1,"Over capacity",IF(N34&gt;=0.85,"High load",IF(N34&gt;=0.5,"Normal","Low load")))</x:f>
        <x:v>Low load</x:v>
      </x:c>
    </x:row>
    <x:row r="35">
      <x:c r="A35" s="8" t="str">
        <x:v>110T产能3#</x:v>
      </x:c>
      <x:c r="B35" s="9" t="str">
        <x:v>110T 按10H</x:v>
      </x:c>
      <x:c r="C35" s="9"/>
      <x:c r="D35" s="9"/>
      <x:c r="E35" s="9" t="str">
        <x:v>SORTIE BOBINE BORNE A1</x:v>
      </x:c>
      <x:c r="F35" s="9"/>
      <x:c r="G35" s="9" t="str">
        <x:v>W113791660114</x:v>
      </x:c>
      <x:c r="H35" s="12" t="n">
        <x:v>48333.33</x:v>
      </x:c>
      <x:c r="I35" s="12" t="n">
        <x:v>21600</x:v>
      </x:c>
      <x:c r="J35" s="12" t="n">
        <x:v>2</x:v>
      </x:c>
      <x:c r="K35" s="12" t="n">
        <x:f>IFERROR(I35*26*J35,0)</x:f>
        <x:v>1123200</x:v>
      </x:c>
      <x:c r="L35" s="12" t="n">
        <x:f>IFERROR(H35/I35,0)</x:f>
        <x:v>2.2376541666666667</x:v>
      </x:c>
      <x:c r="M35" s="12" t="n">
        <x:f>IFERROR(26*J35,0)</x:f>
        <x:v>52</x:v>
      </x:c>
      <x:c r="N35" s="14" t="n">
        <x:f>IFERROR(L35/M35,0)</x:f>
        <x:v>0.0430318108974359</x:v>
      </x:c>
      <x:c r="O35" s="14" t="n">
        <x:v>0.6</x:v>
      </x:c>
      <x:c r="P35" s="9" t="n">
        <x:v>1</x:v>
      </x:c>
      <x:c r="Q35" s="9"/>
      <x:c r="R35" s="10" t="str">
        <x:f>IF(N35&gt;1,"Over capacity",IF(N35&gt;=0.85,"High load",IF(N35&gt;=0.5,"Normal","Low load")))</x:f>
        <x:v>Low load</x:v>
      </x:c>
    </x:row>
    <x:row r="36">
      <x:c r="A36" s="8" t="str">
        <x:v>110T产能3#</x:v>
      </x:c>
      <x:c r="B36" s="9" t="str">
        <x:v>110T 按10H</x:v>
      </x:c>
      <x:c r="C36" s="9"/>
      <x:c r="D36" s="9"/>
      <x:c r="E36" s="9" t="str">
        <x:v>SORTIE BOBINE BORNE A2</x:v>
      </x:c>
      <x:c r="F36" s="9"/>
      <x:c r="G36" s="9" t="str">
        <x:v>W113791670114</x:v>
      </x:c>
      <x:c r="H36" s="12" t="n">
        <x:v>48333.33</x:v>
      </x:c>
      <x:c r="I36" s="12" t="n">
        <x:v>21600</x:v>
      </x:c>
      <x:c r="J36" s="12" t="n">
        <x:v>2</x:v>
      </x:c>
      <x:c r="K36" s="12" t="n">
        <x:f>IFERROR(I36*26*J36,0)</x:f>
        <x:v>1123200</x:v>
      </x:c>
      <x:c r="L36" s="12" t="n">
        <x:f>IFERROR(H36/I36,0)</x:f>
        <x:v>2.2376541666666667</x:v>
      </x:c>
      <x:c r="M36" s="12" t="n">
        <x:f>IFERROR(26*J36,0)</x:f>
        <x:v>52</x:v>
      </x:c>
      <x:c r="N36" s="14" t="n">
        <x:f>IFERROR(L36/M36,0)</x:f>
        <x:v>0.0430318108974359</x:v>
      </x:c>
      <x:c r="O36" s="14" t="n">
        <x:v>0.6</x:v>
      </x:c>
      <x:c r="P36" s="9" t="n">
        <x:v>1</x:v>
      </x:c>
      <x:c r="Q36" s="9"/>
      <x:c r="R36" s="10" t="str">
        <x:f>IF(N36&gt;1,"Over capacity",IF(N36&gt;=0.85,"High load",IF(N36&gt;=0.5,"Normal","Low load")))</x:f>
        <x:v>Low load</x:v>
      </x:c>
    </x:row>
    <x:row r="37">
      <x:c r="A37" s="8" t="str">
        <x:v>110T产能3#</x:v>
      </x:c>
      <x:c r="B37" s="9" t="str">
        <x:v>110T 按10H</x:v>
      </x:c>
      <x:c r="C37" s="9"/>
      <x:c r="D37" s="9"/>
      <x:c r="E37" s="9" t="str">
        <x:v>CG TIE BAR</x:v>
      </x:c>
      <x:c r="F37" s="9"/>
      <x:c r="G37" s="9" t="str">
        <x:v>1118183-AB</x:v>
      </x:c>
      <x:c r="H37" s="12" t="n">
        <x:v>13461</x:v>
      </x:c>
      <x:c r="I37" s="12" t="n">
        <x:v>43200</x:v>
      </x:c>
      <x:c r="J37" s="12" t="n">
        <x:v>2</x:v>
      </x:c>
      <x:c r="K37" s="12" t="n">
        <x:f>IFERROR(I37*26*J37,0)</x:f>
        <x:v>2246400</x:v>
      </x:c>
      <x:c r="L37" s="12" t="n">
        <x:f>IFERROR(H37/I37,0)</x:f>
        <x:v>0.31159722222222225</x:v>
      </x:c>
      <x:c r="M37" s="12" t="n">
        <x:f>IFERROR(26*J37,0)</x:f>
        <x:v>52</x:v>
      </x:c>
      <x:c r="N37" s="14" t="n">
        <x:f>IFERROR(L37/M37,0)</x:f>
        <x:v>0.005992254273504274</x:v>
      </x:c>
      <x:c r="O37" s="14" t="n">
        <x:v>0.6</x:v>
      </x:c>
      <x:c r="P37" s="9" t="n">
        <x:v>2</x:v>
      </x:c>
      <x:c r="Q37" s="9"/>
      <x:c r="R37" s="10" t="str">
        <x:f>IF(N37&gt;1,"Over capacity",IF(N37&gt;=0.85,"High load",IF(N37&gt;=0.5,"Normal","Low load")))</x:f>
        <x:v>Low load</x:v>
      </x:c>
    </x:row>
    <x:row r="38">
      <x:c r="A38" s="8" t="str">
        <x:v>110T产能3#</x:v>
      </x:c>
      <x:c r="B38" s="9" t="str">
        <x:v>110T 按10H</x:v>
      </x:c>
      <x:c r="C38" s="9"/>
      <x:c r="D38" s="9"/>
      <x:c r="E38" s="9" t="str">
        <x:v>CG TIE BAR 92295</x:v>
      </x:c>
      <x:c r="F38" s="9"/>
      <x:c r="G38" s="9" t="str">
        <x:v>1106702-AA（1092295-AF1）</x:v>
      </x:c>
      <x:c r="H38" s="12" t="n">
        <x:v>13461</x:v>
      </x:c>
      <x:c r="I38" s="12" t="n">
        <x:v>21600</x:v>
      </x:c>
      <x:c r="J38" s="12" t="n">
        <x:v>2</x:v>
      </x:c>
      <x:c r="K38" s="12" t="n">
        <x:f>IFERROR(I38*26*J38,0)</x:f>
        <x:v>1123200</x:v>
      </x:c>
      <x:c r="L38" s="12" t="n">
        <x:f>IFERROR(H38/I38,0)</x:f>
        <x:v>0.6231944444444445</x:v>
      </x:c>
      <x:c r="M38" s="12" t="n">
        <x:f>IFERROR(26*J38,0)</x:f>
        <x:v>52</x:v>
      </x:c>
      <x:c r="N38" s="14" t="n">
        <x:f>IFERROR(L38/M38,0)</x:f>
        <x:v>0.011984508547008547</x:v>
      </x:c>
      <x:c r="O38" s="14" t="n">
        <x:v>0.6</x:v>
      </x:c>
      <x:c r="P38" s="9" t="n">
        <x:v>1</x:v>
      </x:c>
      <x:c r="Q38" s="9"/>
      <x:c r="R38" s="10" t="str">
        <x:f>IF(N38&gt;1,"Over capacity",IF(N38&gt;=0.85,"High load",IF(N38&gt;=0.5,"Normal","Low load")))</x:f>
        <x:v>Low load</x:v>
      </x:c>
    </x:row>
    <x:row r="39">
      <x:c r="A39" s="8" t="str">
        <x:v>110T产能3#</x:v>
      </x:c>
      <x:c r="B39" s="9" t="str">
        <x:v>110T 按10H</x:v>
      </x:c>
      <x:c r="C39" s="9"/>
      <x:c r="D39" s="9"/>
      <x:c r="E39" s="9" t="str">
        <x:v>Magnet Lanced HT Valide</x:v>
      </x:c>
      <x:c r="F39" s="9"/>
      <x:c r="G39" s="9" t="str">
        <x:v>48187068AA</x:v>
      </x:c>
      <x:c r="H39" s="12" t="n">
        <x:v>176583.5</x:v>
      </x:c>
      <x:c r="I39" s="12" t="n">
        <x:v>90000</x:v>
      </x:c>
      <x:c r="J39" s="12" t="n">
        <x:v>1</x:v>
      </x:c>
      <x:c r="K39" s="12" t="n">
        <x:f>IFERROR(I39*26*J39,0)</x:f>
        <x:v>2340000</x:v>
      </x:c>
      <x:c r="L39" s="12" t="n">
        <x:f>IFERROR(H39/I39,0)</x:f>
        <x:v>1.9620388888888889</x:v>
      </x:c>
      <x:c r="M39" s="12" t="n">
        <x:f>IFERROR(26*J39,0)</x:f>
        <x:v>26</x:v>
      </x:c>
      <x:c r="N39" s="14" t="n">
        <x:f>IFERROR(L39/M39,0)</x:f>
        <x:v>0.07546303418803418</x:v>
      </x:c>
      <x:c r="O39" s="14" t="n">
        <x:v>0.75</x:v>
      </x:c>
      <x:c r="P39" s="9" t="n">
        <x:v>2</x:v>
      </x:c>
      <x:c r="Q39" s="9"/>
      <x:c r="R39" s="10" t="str">
        <x:f>IF(N39&gt;1,"Over capacity",IF(N39&gt;=0.85,"High load",IF(N39&gt;=0.5,"Normal","Low load")))</x:f>
        <x:v>Low load</x:v>
      </x:c>
    </x:row>
    <x:row r="40">
      <x:c r="A40" s="8" t="str">
        <x:v>110T产能3#</x:v>
      </x:c>
      <x:c r="B40" s="9" t="str">
        <x:v>110T 按10H</x:v>
      </x:c>
      <x:c r="C40" s="9"/>
      <x:c r="D40" s="9"/>
      <x:c r="E40" s="9" t="str">
        <x:v>Lock,Slide</x:v>
      </x:c>
      <x:c r="F40" s="9"/>
      <x:c r="G40" s="9" t="str">
        <x:v>48187086AA</x:v>
      </x:c>
      <x:c r="H40" s="12" t="n">
        <x:v>8450.5</x:v>
      </x:c>
      <x:c r="I40" s="12" t="n">
        <x:v>90000</x:v>
      </x:c>
      <x:c r="J40" s="12" t="n">
        <x:v>1</x:v>
      </x:c>
      <x:c r="K40" s="12" t="n">
        <x:f>IFERROR(I40*26*J40,0)</x:f>
        <x:v>2340000</x:v>
      </x:c>
      <x:c r="L40" s="12" t="n">
        <x:f>IFERROR(H40/I40,0)</x:f>
        <x:v>0.09389444444444445</x:v>
      </x:c>
      <x:c r="M40" s="12" t="n">
        <x:f>IFERROR(26*J40,0)</x:f>
        <x:v>26</x:v>
      </x:c>
      <x:c r="N40" s="14" t="n">
        <x:f>IFERROR(L40/M40,0)</x:f>
        <x:v>0.0036113247863247865</x:v>
      </x:c>
      <x:c r="O40" s="14" t="n">
        <x:v>0.75</x:v>
      </x:c>
      <x:c r="P40" s="9" t="n">
        <x:v>2</x:v>
      </x:c>
      <x:c r="Q40" s="9"/>
      <x:c r="R40" s="10" t="str">
        <x:f>IF(N40&gt;1,"Over capacity",IF(N40&gt;=0.85,"High load",IF(N40&gt;=0.5,"Normal","Low load")))</x:f>
        <x:v>Low load</x:v>
      </x:c>
    </x:row>
    <x:row r="41">
      <x:c r="A41" s="8" t="str">
        <x:v>110T产能4#</x:v>
      </x:c>
      <x:c r="B41" s="9" t="str">
        <x:v>110T 按10H</x:v>
      </x:c>
      <x:c r="C41" s="9"/>
      <x:c r="D41" s="9"/>
      <x:c r="E41" s="9" t="str">
        <x:v>CRADLE</x:v>
      </x:c>
      <x:c r="F41" s="9" t="str">
        <x:v>钜详转移</x:v>
      </x:c>
      <x:c r="G41" s="9" t="str">
        <x:v>48187058AA</x:v>
      </x:c>
      <x:c r="H41" s="12" t="n">
        <x:v>160000</x:v>
      </x:c>
      <x:c r="I41" s="12" t="n">
        <x:v>18000</x:v>
      </x:c>
      <x:c r="J41" s="12" t="n">
        <x:v>2</x:v>
      </x:c>
      <x:c r="K41" s="12" t="n">
        <x:f>IFERROR(I41*26*J41,0)</x:f>
        <x:v>936000</x:v>
      </x:c>
      <x:c r="L41" s="12" t="n">
        <x:f>IFERROR(H41/I41,0)</x:f>
        <x:v>8.88888888888889</x:v>
      </x:c>
      <x:c r="M41" s="12" t="n">
        <x:f>IFERROR(26*J41,0)</x:f>
        <x:v>52</x:v>
      </x:c>
      <x:c r="N41" s="14" t="n">
        <x:f>IFERROR(L41/M41,0)</x:f>
        <x:v>0.17094017094017094</x:v>
      </x:c>
      <x:c r="O41" s="14" t="n">
        <x:v>0.5</x:v>
      </x:c>
      <x:c r="P41" s="9" t="n">
        <x:v>1</x:v>
      </x:c>
      <x:c r="Q41" s="9"/>
      <x:c r="R41" s="10" t="str">
        <x:f>IF(N41&gt;1,"Over capacity",IF(N41&gt;=0.85,"High load",IF(N41&gt;=0.5,"Normal","Low load")))</x:f>
        <x:v>Low load</x:v>
      </x:c>
    </x:row>
    <x:row r="42">
      <x:c r="A42" s="8" t="str">
        <x:v>110T产能4#</x:v>
      </x:c>
      <x:c r="B42" s="9" t="str">
        <x:v>110T 按10H</x:v>
      </x:c>
      <x:c r="C42" s="9"/>
      <x:c r="D42" s="9"/>
      <x:c r="E42" s="9" t="str">
        <x:v>CLAMP PLATE</x:v>
      </x:c>
      <x:c r="F42" s="9" t="str">
        <x:v>NT-21</x:v>
      </x:c>
      <x:c r="G42" s="9" t="str">
        <x:v>48187311</x:v>
      </x:c>
      <x:c r="H42" s="12" t="n">
        <x:v>300000</x:v>
      </x:c>
      <x:c r="I42" s="12" t="n">
        <x:v>86400</x:v>
      </x:c>
      <x:c r="J42" s="12" t="n">
        <x:v>2</x:v>
      </x:c>
      <x:c r="K42" s="12" t="n">
        <x:f>IFERROR(I42*26*J42,0)</x:f>
        <x:v>4492800</x:v>
      </x:c>
      <x:c r="L42" s="12" t="n">
        <x:f>IFERROR(H42/I42,0)</x:f>
        <x:v>3.4722222222222223</x:v>
      </x:c>
      <x:c r="M42" s="12" t="n">
        <x:f>IFERROR(26*J42,0)</x:f>
        <x:v>52</x:v>
      </x:c>
      <x:c r="N42" s="14" t="n">
        <x:f>IFERROR(L42/M42,0)</x:f>
        <x:v>0.06677350427350427</x:v>
      </x:c>
      <x:c r="O42" s="14" t="n">
        <x:v>0.6</x:v>
      </x:c>
      <x:c r="P42" s="9" t="n">
        <x:v>3</x:v>
      </x:c>
      <x:c r="Q42" s="9"/>
      <x:c r="R42" s="10" t="str">
        <x:f>IF(N42&gt;1,"Over capacity",IF(N42&gt;=0.85,"High load",IF(N42&gt;=0.5,"Normal","Low load")))</x:f>
        <x:v>Low load</x:v>
      </x:c>
    </x:row>
    <x:row r="43">
      <x:c r="A43" s="8" t="str">
        <x:v>110T产能4#</x:v>
      </x:c>
      <x:c r="B43" s="9" t="str">
        <x:v>110T 按10H</x:v>
      </x:c>
      <x:c r="C43" s="9"/>
      <x:c r="D43" s="9"/>
      <x:c r="E43" s="9" t="str">
        <x:v>Handle Arm</x:v>
      </x:c>
      <x:c r="F43" s="9"/>
      <x:c r="G43" s="9" t="str">
        <x:v>48187057</x:v>
      </x:c>
      <x:c r="H43" s="12" t="n">
        <x:v>120000</x:v>
      </x:c>
      <x:c r="I43" s="12" t="n">
        <x:v>23400</x:v>
      </x:c>
      <x:c r="J43" s="12" t="n">
        <x:v>2</x:v>
      </x:c>
      <x:c r="K43" s="12" t="n">
        <x:f>IFERROR(I43*26*J43,0)</x:f>
        <x:v>1216800</x:v>
      </x:c>
      <x:c r="L43" s="12" t="n">
        <x:f>IFERROR(H43/I43,0)</x:f>
        <x:v>5.128205128205129</x:v>
      </x:c>
      <x:c r="M43" s="12" t="n">
        <x:f>IFERROR(26*J43,0)</x:f>
        <x:v>52</x:v>
      </x:c>
      <x:c r="N43" s="14" t="n">
        <x:f>IFERROR(L43/M43,0)</x:f>
        <x:v>0.09861932938856016</x:v>
      </x:c>
      <x:c r="O43" s="14" t="n">
        <x:v>0.6</x:v>
      </x:c>
      <x:c r="P43" s="9" t="n">
        <x:v>1</x:v>
      </x:c>
      <x:c r="Q43" s="9"/>
      <x:c r="R43" s="10" t="str">
        <x:f>IF(N43&gt;1,"Over capacity",IF(N43&gt;=0.85,"High load",IF(N43&gt;=0.5,"Normal","Low load")))</x:f>
        <x:v>Low load</x:v>
      </x:c>
    </x:row>
    <x:row r="44">
      <x:c r="A44" s="8" t="str">
        <x:v>110T产能4#</x:v>
      </x:c>
      <x:c r="B44" s="9" t="str">
        <x:v>110T 按10H</x:v>
      </x:c>
      <x:c r="C44" s="9"/>
      <x:c r="D44" s="9"/>
      <x:c r="E44" s="9" t="str">
        <x:v>Armature</x:v>
      </x:c>
      <x:c r="F44" s="9"/>
      <x:c r="G44" s="9" t="str">
        <x:v>48187063</x:v>
      </x:c>
      <x:c r="H44" s="12" t="n">
        <x:v>310000</x:v>
      </x:c>
      <x:c r="I44" s="12" t="n">
        <x:v>43200</x:v>
      </x:c>
      <x:c r="J44" s="12" t="n">
        <x:v>1</x:v>
      </x:c>
      <x:c r="K44" s="12" t="n">
        <x:f>IFERROR(I44*26*J44,0)</x:f>
        <x:v>1123200</x:v>
      </x:c>
      <x:c r="L44" s="12" t="n">
        <x:f>IFERROR(H44/I44,0)</x:f>
        <x:v>7.175925925925926</x:v>
      </x:c>
      <x:c r="M44" s="12" t="n">
        <x:f>IFERROR(26*J44,0)</x:f>
        <x:v>26</x:v>
      </x:c>
      <x:c r="N44" s="14" t="n">
        <x:f>IFERROR(L44/M44,0)</x:f>
        <x:v>0.275997150997151</x:v>
      </x:c>
      <x:c r="O44" s="14" t="n">
        <x:v>0.6</x:v>
      </x:c>
      <x:c r="P44" s="9" t="n">
        <x:v>2</x:v>
      </x:c>
      <x:c r="Q44" s="9"/>
      <x:c r="R44" s="10" t="str">
        <x:f>IF(N44&gt;1,"Over capacity",IF(N44&gt;=0.85,"High load",IF(N44&gt;=0.5,"Normal","Low load")))</x:f>
        <x:v>Low load</x:v>
      </x:c>
    </x:row>
    <x:row r="45">
      <x:c r="A45" s="8" t="str">
        <x:v>110T产能4#</x:v>
      </x:c>
      <x:c r="B45" s="9" t="str">
        <x:v>110T 按10H</x:v>
      </x:c>
      <x:c r="C45" s="9"/>
      <x:c r="D45" s="9"/>
      <x:c r="E45" s="9" t="str">
        <x:v>Magnet Lanced HT Valide</x:v>
      </x:c>
      <x:c r="F45" s="9"/>
      <x:c r="G45" s="9" t="str">
        <x:v>48187068AA</x:v>
      </x:c>
      <x:c r="H45" s="12" t="n">
        <x:v>176583.5</x:v>
      </x:c>
      <x:c r="I45" s="12" t="n">
        <x:v>90000</x:v>
      </x:c>
      <x:c r="J45" s="12" t="n">
        <x:v>1</x:v>
      </x:c>
      <x:c r="K45" s="12" t="n">
        <x:f>IFERROR(I45*26*J45,0)</x:f>
        <x:v>2340000</x:v>
      </x:c>
      <x:c r="L45" s="12" t="n">
        <x:f>IFERROR(H45/I45,0)</x:f>
        <x:v>1.9620388888888889</x:v>
      </x:c>
      <x:c r="M45" s="12" t="n">
        <x:f>IFERROR(26*J45,0)</x:f>
        <x:v>26</x:v>
      </x:c>
      <x:c r="N45" s="14" t="n">
        <x:f>IFERROR(L45/M45,0)</x:f>
        <x:v>0.07546303418803418</x:v>
      </x:c>
      <x:c r="O45" s="14" t="n">
        <x:v>0.75</x:v>
      </x:c>
      <x:c r="P45" s="9" t="n">
        <x:v>2</x:v>
      </x:c>
      <x:c r="Q45" s="9"/>
      <x:c r="R45" s="10" t="str">
        <x:f>IF(N45&gt;1,"Over capacity",IF(N45&gt;=0.85,"High load",IF(N45&gt;=0.5,"Normal","Low load")))</x:f>
        <x:v>Low load</x:v>
      </x:c>
    </x:row>
    <x:row r="46">
      <x:c r="A46" s="8" t="str">
        <x:v>110T产能5#</x:v>
      </x:c>
      <x:c r="B46" s="9" t="str">
        <x:v>110T 按10H</x:v>
      </x:c>
      <x:c r="C46" s="9"/>
      <x:c r="D46" s="9"/>
      <x:c r="E46" s="9" t="str">
        <x:v>Primary Latch</x:v>
      </x:c>
      <x:c r="F46" s="9"/>
      <x:c r="G46" s="9" t="str">
        <x:v>48187061AA</x:v>
      </x:c>
      <x:c r="H46" s="12" t="n">
        <x:v>90000</x:v>
      </x:c>
      <x:c r="I46" s="12" t="n">
        <x:v>36000</x:v>
      </x:c>
      <x:c r="J46" s="12" t="n">
        <x:v>2</x:v>
      </x:c>
      <x:c r="K46" s="12" t="n">
        <x:f>IFERROR(I46*26*J46,0)</x:f>
        <x:v>1872000</x:v>
      </x:c>
      <x:c r="L46" s="12" t="n">
        <x:f>IFERROR(H46/I46,0)</x:f>
        <x:v>2.5</x:v>
      </x:c>
      <x:c r="M46" s="12" t="n">
        <x:f>IFERROR(26*J46,0)</x:f>
        <x:v>52</x:v>
      </x:c>
      <x:c r="N46" s="14" t="n">
        <x:f>IFERROR(L46/M46,0)</x:f>
        <x:v>0.04807692307692308</x:v>
      </x:c>
      <x:c r="O46" s="14" t="n">
        <x:v>0.6</x:v>
      </x:c>
      <x:c r="P46" s="9" t="n">
        <x:v>2</x:v>
      </x:c>
      <x:c r="Q46" s="9"/>
      <x:c r="R46" s="10" t="str">
        <x:f>IF(N46&gt;1,"Over capacity",IF(N46&gt;=0.85,"High load",IF(N46&gt;=0.5,"Normal","Low load")))</x:f>
        <x:v>Low load</x:v>
      </x:c>
    </x:row>
    <x:row r="47">
      <x:c r="A47" s="8" t="str">
        <x:v>110T产能5#</x:v>
      </x:c>
      <x:c r="B47" s="9" t="str">
        <x:v>110T 按10H</x:v>
      </x:c>
      <x:c r="C47" s="9"/>
      <x:c r="D47" s="9"/>
      <x:c r="E47" s="9" t="str">
        <x:v>Primary Latch-</x:v>
      </x:c>
      <x:c r="F47" s="9"/>
      <x:c r="G47" s="9" t="str">
        <x:v>S1B14877</x:v>
      </x:c>
      <x:c r="H47" s="12" t="n">
        <x:v>6000</x:v>
      </x:c>
      <x:c r="I47" s="12" t="n">
        <x:v>36000</x:v>
      </x:c>
      <x:c r="J47" s="12" t="n">
        <x:v>2</x:v>
      </x:c>
      <x:c r="K47" s="12" t="n">
        <x:f>IFERROR(I47*26*J47,0)</x:f>
        <x:v>1872000</x:v>
      </x:c>
      <x:c r="L47" s="12" t="n">
        <x:f>IFERROR(H47/I47,0)</x:f>
        <x:v>0.16666666666666666</x:v>
      </x:c>
      <x:c r="M47" s="12" t="n">
        <x:f>IFERROR(26*J47,0)</x:f>
        <x:v>52</x:v>
      </x:c>
      <x:c r="N47" s="14" t="n">
        <x:f>IFERROR(L47/M47,0)</x:f>
        <x:v>0.003205128205128205</x:v>
      </x:c>
      <x:c r="O47" s="14" t="n">
        <x:v>0.6</x:v>
      </x:c>
      <x:c r="P47" s="9" t="n">
        <x:v>2</x:v>
      </x:c>
      <x:c r="Q47" s="9"/>
      <x:c r="R47" s="10" t="str">
        <x:f>IF(N47&gt;1,"Over capacity",IF(N47&gt;=0.85,"High load",IF(N47&gt;=0.5,"Normal","Low load")))</x:f>
        <x:v>Low load</x:v>
      </x:c>
    </x:row>
    <x:row r="48">
      <x:c r="A48" s="8" t="str">
        <x:v>110T产能5#</x:v>
      </x:c>
      <x:c r="B48" s="9" t="str">
        <x:v>110T 按10H</x:v>
      </x:c>
      <x:c r="C48" s="9"/>
      <x:c r="D48" s="9"/>
      <x:c r="E48" s="9" t="str">
        <x:v>金属支架</x:v>
      </x:c>
      <x:c r="F48" s="9"/>
      <x:c r="G48" s="9" t="str">
        <x:v>51207070</x:v>
      </x:c>
      <x:c r="H48" s="12" t="n">
        <x:v>3000000</x:v>
      </x:c>
      <x:c r="I48" s="12" t="n">
        <x:v>96000</x:v>
      </x:c>
      <x:c r="J48" s="12" t="n">
        <x:v>2</x:v>
      </x:c>
      <x:c r="K48" s="12" t="n">
        <x:f>IFERROR(I48*26*J48,0)</x:f>
        <x:v>4992000</x:v>
      </x:c>
      <x:c r="L48" s="12" t="n">
        <x:f>IFERROR(H48/I48,0)</x:f>
        <x:v>31.25</x:v>
      </x:c>
      <x:c r="M48" s="12" t="n">
        <x:f>IFERROR(26*J48,0)</x:f>
        <x:v>52</x:v>
      </x:c>
      <x:c r="N48" s="14" t="n">
        <x:f>IFERROR(L48/M48,0)</x:f>
        <x:v>0.6009615384615384</x:v>
      </x:c>
      <x:c r="O48" s="14" t="n">
        <x:v>0.8</x:v>
      </x:c>
      <x:c r="P48" s="9" t="n">
        <x:v>2</x:v>
      </x:c>
      <x:c r="Q48" s="9"/>
      <x:c r="R48" s="10" t="str">
        <x:f>IF(N48&gt;1,"Over capacity",IF(N48&gt;=0.85,"High load",IF(N48&gt;=0.5,"Normal","Low load")))</x:f>
        <x:v>Normal</x:v>
      </x:c>
    </x:row>
    <x:row r="49">
      <x:c r="A49" s="8" t="str">
        <x:v>110T产能5#</x:v>
      </x:c>
      <x:c r="B49" s="9" t="str">
        <x:v>110T 按10H</x:v>
      </x:c>
      <x:c r="C49" s="9"/>
      <x:c r="D49" s="9"/>
      <x:c r="E49" s="9" t="str">
        <x:v>CLAMP PLATE</x:v>
      </x:c>
      <x:c r="F49" s="9" t="str">
        <x:v>NT-21</x:v>
      </x:c>
      <x:c r="G49" s="9" t="str">
        <x:v>48187311</x:v>
      </x:c>
      <x:c r="H49" s="12" t="n">
        <x:v>300000</x:v>
      </x:c>
      <x:c r="I49" s="12" t="n">
        <x:v>86400</x:v>
      </x:c>
      <x:c r="J49" s="12" t="n">
        <x:v>2</x:v>
      </x:c>
      <x:c r="K49" s="12" t="n">
        <x:f>IFERROR(I49*26*J49,0)</x:f>
        <x:v>4492800</x:v>
      </x:c>
      <x:c r="L49" s="12" t="n">
        <x:f>IFERROR(H49/I49,0)</x:f>
        <x:v>3.4722222222222223</x:v>
      </x:c>
      <x:c r="M49" s="12" t="n">
        <x:f>IFERROR(26*J49,0)</x:f>
        <x:v>52</x:v>
      </x:c>
      <x:c r="N49" s="14" t="n">
        <x:f>IFERROR(L49/M49,0)</x:f>
        <x:v>0.06677350427350427</x:v>
      </x:c>
      <x:c r="O49" s="14" t="n">
        <x:v>0.6</x:v>
      </x:c>
      <x:c r="P49" s="9" t="n">
        <x:v>3</x:v>
      </x:c>
      <x:c r="Q49" s="9"/>
      <x:c r="R49" s="10" t="str">
        <x:f>IF(N49&gt;1,"Over capacity",IF(N49&gt;=0.85,"High load",IF(N49&gt;=0.5,"Normal","Low load")))</x:f>
        <x:v>Low load</x:v>
      </x:c>
    </x:row>
    <x:row r="50">
      <x:c r="A50" s="8" t="str">
        <x:v>110T产能5#</x:v>
      </x:c>
      <x:c r="B50" s="9" t="str">
        <x:v>110T 按10H</x:v>
      </x:c>
      <x:c r="C50" s="9"/>
      <x:c r="D50" s="9"/>
      <x:c r="E50" s="9" t="str">
        <x:v>Medium Arc Platel</x:v>
      </x:c>
      <x:c r="F50" s="9"/>
      <x:c r="G50" s="9" t="str">
        <x:v>48187097</x:v>
      </x:c>
      <x:c r="H50" s="12" t="n">
        <x:v>1250000</x:v>
      </x:c>
      <x:c r="I50" s="12" t="n">
        <x:v>91800</x:v>
      </x:c>
      <x:c r="J50" s="12" t="n">
        <x:v>2</x:v>
      </x:c>
      <x:c r="K50" s="12" t="n">
        <x:f>IFERROR(I50*26*J50,0)</x:f>
        <x:v>4773600</x:v>
      </x:c>
      <x:c r="L50" s="12" t="n">
        <x:f>IFERROR(H50/I50,0)</x:f>
        <x:v>13.616557734204793</x:v>
      </x:c>
      <x:c r="M50" s="12" t="n">
        <x:f>IFERROR(26*J50,0)</x:f>
        <x:v>52</x:v>
      </x:c>
      <x:c r="N50" s="14" t="n">
        <x:f>IFERROR(L50/M50,0)</x:f>
        <x:v>0.2618568795039383</x:v>
      </x:c>
      <x:c r="O50" s="14" t="n">
        <x:v>0.6</x:v>
      </x:c>
      <x:c r="P50" s="9" t="n">
        <x:v>3</x:v>
      </x:c>
      <x:c r="Q50" s="9"/>
      <x:c r="R50" s="10" t="str">
        <x:f>IF(N50&gt;1,"Over capacity",IF(N50&gt;=0.85,"High load",IF(N50&gt;=0.5,"Normal","Low load")))</x:f>
        <x:v>Low load</x:v>
      </x:c>
    </x:row>
    <x:row r="51">
      <x:c r="A51" s="8" t="str">
        <x:v>110T产能5#</x:v>
      </x:c>
      <x:c r="B51" s="9" t="str">
        <x:v>110T 按10H</x:v>
      </x:c>
      <x:c r="C51" s="9"/>
      <x:c r="D51" s="9"/>
      <x:c r="E51" s="9" t="str">
        <x:v>PLATE</x:v>
      </x:c>
      <x:c r="F51" s="9"/>
      <x:c r="G51" s="9" t="str">
        <x:v>1186500-AA</x:v>
      </x:c>
      <x:c r="H51" s="12" t="n">
        <x:v>1050</x:v>
      </x:c>
      <x:c r="I51" s="12" t="n">
        <x:v>32400</x:v>
      </x:c>
      <x:c r="J51" s="12" t="n">
        <x:v>2</x:v>
      </x:c>
      <x:c r="K51" s="12" t="n">
        <x:f>IFERROR(I51*26*J51,0)</x:f>
        <x:v>1684800</x:v>
      </x:c>
      <x:c r="L51" s="12" t="n">
        <x:f>IFERROR(H51/I51,0)</x:f>
        <x:v>0.032407407407407406</x:v>
      </x:c>
      <x:c r="M51" s="12" t="n">
        <x:f>IFERROR(26*J51,0)</x:f>
        <x:v>52</x:v>
      </x:c>
      <x:c r="N51" s="14" t="n">
        <x:f>IFERROR(L51/M51,0)</x:f>
        <x:v>0.0006232193732193732</x:v>
      </x:c>
      <x:c r="O51" s="14" t="n">
        <x:v>0.6</x:v>
      </x:c>
      <x:c r="P51" s="9" t="n">
        <x:v>1</x:v>
      </x:c>
      <x:c r="Q51" s="9"/>
      <x:c r="R51" s="10" t="str">
        <x:f>IF(N51&gt;1,"Over capacity",IF(N51&gt;=0.85,"High load",IF(N51&gt;=0.5,"Normal","Low load")))</x:f>
        <x:v>Low load</x:v>
      </x:c>
    </x:row>
    <x:row r="52">
      <x:c r="A52" s="8" t="str">
        <x:v>110T产能5#</x:v>
      </x:c>
      <x:c r="B52" s="9" t="str">
        <x:v>110T 按10H</x:v>
      </x:c>
      <x:c r="C52" s="9"/>
      <x:c r="D52" s="9"/>
      <x:c r="E52" s="9"/>
      <x:c r="F52" s="9" t="str">
        <x:v>NT-23</x:v>
      </x:c>
      <x:c r="G52" s="9" t="str">
        <x:v>W113890070111</x:v>
      </x:c>
      <x:c r="H52" s="12" t="n">
        <x:v>256033.75</x:v>
      </x:c>
      <x:c r="I52" s="12" t="n">
        <x:v>129600</x:v>
      </x:c>
      <x:c r="J52" s="12" t="n">
        <x:v>2</x:v>
      </x:c>
      <x:c r="K52" s="12" t="n">
        <x:f>IFERROR(I52*26*J52,0)</x:f>
        <x:v>6739200</x:v>
      </x:c>
      <x:c r="L52" s="12" t="n">
        <x:f>IFERROR(H52/I52,0)</x:f>
        <x:v>1.9755690586419754</x:v>
      </x:c>
      <x:c r="M52" s="12" t="n">
        <x:f>IFERROR(26*J52,0)</x:f>
        <x:v>52</x:v>
      </x:c>
      <x:c r="N52" s="14" t="n">
        <x:f>IFERROR(L52/M52,0)</x:f>
        <x:v>0.037991712666191835</x:v>
      </x:c>
      <x:c r="O52" s="14" t="n">
        <x:v>0.6</x:v>
      </x:c>
      <x:c r="P52" s="9" t="n">
        <x:v>6</x:v>
      </x:c>
      <x:c r="Q52" s="9"/>
      <x:c r="R52" s="10" t="str">
        <x:f>IF(N52&gt;1,"Over capacity",IF(N52&gt;=0.85,"High load",IF(N52&gt;=0.5,"Normal","Low load")))</x:f>
        <x:v>Low load</x:v>
      </x:c>
    </x:row>
    <x:row r="53">
      <x:c r="A53" s="8" t="str">
        <x:v>110T产能5#</x:v>
      </x:c>
      <x:c r="B53" s="9" t="str">
        <x:v>110T 按10H</x:v>
      </x:c>
      <x:c r="C53" s="9"/>
      <x:c r="D53" s="9"/>
      <x:c r="E53" s="9"/>
      <x:c r="F53" s="9"/>
      <x:c r="G53" s="9" t="str">
        <x:v>W113890870111</x:v>
      </x:c>
      <x:c r="H53" s="12" t="n">
        <x:v>73771.5</x:v>
      </x:c>
      <x:c r="I53" s="12" t="n">
        <x:v>129600</x:v>
      </x:c>
      <x:c r="J53" s="12" t="n">
        <x:v>2</x:v>
      </x:c>
      <x:c r="K53" s="12" t="n">
        <x:f>IFERROR(I53*26*J53,0)</x:f>
        <x:v>6739200</x:v>
      </x:c>
      <x:c r="L53" s="12" t="n">
        <x:f>IFERROR(H53/I53,0)</x:f>
        <x:v>0.569224537037037</x:v>
      </x:c>
      <x:c r="M53" s="12" t="n">
        <x:f>IFERROR(26*J53,0)</x:f>
        <x:v>52</x:v>
      </x:c>
      <x:c r="N53" s="14" t="n">
        <x:f>IFERROR(L53/M53,0)</x:f>
        <x:v>0.010946625712250711</x:v>
      </x:c>
      <x:c r="O53" s="14" t="n">
        <x:v>0.6</x:v>
      </x:c>
      <x:c r="P53" s="9" t="n">
        <x:v>6</x:v>
      </x:c>
      <x:c r="Q53" s="9"/>
      <x:c r="R53" s="10" t="str">
        <x:f>IF(N53&gt;1,"Over capacity",IF(N53&gt;=0.85,"High load",IF(N53&gt;=0.5,"Normal","Low load")))</x:f>
        <x:v>Low load</x:v>
      </x:c>
    </x:row>
    <x:row r="54">
      <x:c r="A54" s="8" t="str">
        <x:v>110T产能5#</x:v>
      </x:c>
      <x:c r="B54" s="9" t="str">
        <x:v>110T 按10H</x:v>
      </x:c>
      <x:c r="C54" s="9"/>
      <x:c r="D54" s="9"/>
      <x:c r="E54" s="9" t="str">
        <x:v>CT3 Tetra A1 Coil Screw Terminal A1</x:v>
      </x:c>
      <x:c r="F54" s="9" t="str">
        <x:v>SEMB</x:v>
      </x:c>
      <x:c r="G54" s="9" t="str">
        <x:v>W117239700111</x:v>
      </x:c>
      <x:c r="H54" s="12" t="n">
        <x:v>4833.33</x:v>
      </x:c>
      <x:c r="I54" s="12" t="n">
        <x:v>21600</x:v>
      </x:c>
      <x:c r="J54" s="12" t="n">
        <x:v>2</x:v>
      </x:c>
      <x:c r="K54" s="12" t="n">
        <x:f>IFERROR(I54*26*J54,0)</x:f>
        <x:v>1123200</x:v>
      </x:c>
      <x:c r="L54" s="12" t="n">
        <x:f>IFERROR(H54/I54,0)</x:f>
        <x:v>0.22376527777777777</x:v>
      </x:c>
      <x:c r="M54" s="12" t="n">
        <x:f>IFERROR(26*J54,0)</x:f>
        <x:v>52</x:v>
      </x:c>
      <x:c r="N54" s="14" t="n">
        <x:f>IFERROR(L54/M54,0)</x:f>
        <x:v>0.0043031784188034185</x:v>
      </x:c>
      <x:c r="O54" s="14" t="n">
        <x:v>0.6</x:v>
      </x:c>
      <x:c r="P54" s="9" t="n">
        <x:v>1</x:v>
      </x:c>
      <x:c r="Q54" s="9"/>
      <x:c r="R54" s="10" t="str">
        <x:f>IF(N54&gt;1,"Over capacity",IF(N54&gt;=0.85,"High load",IF(N54&gt;=0.5,"Normal","Low load")))</x:f>
        <x:v>Low load</x:v>
      </x:c>
    </x:row>
    <x:row r="55">
      <x:c r="A55" s="8" t="str">
        <x:v>110T产能5#</x:v>
      </x:c>
      <x:c r="B55" s="9" t="str">
        <x:v>110T 按10H</x:v>
      </x:c>
      <x:c r="C55" s="9"/>
      <x:c r="D55" s="9"/>
      <x:c r="E55" s="9" t="str">
        <x:v>CT3 Tetra A1 Coil Screw Terminal A2</x:v>
      </x:c>
      <x:c r="F55" s="9"/>
      <x:c r="G55" s="9" t="str">
        <x:v>W117239710111</x:v>
      </x:c>
      <x:c r="H55" s="12" t="n">
        <x:v>4833.33</x:v>
      </x:c>
      <x:c r="I55" s="12" t="n">
        <x:v>21600</x:v>
      </x:c>
      <x:c r="J55" s="12" t="n">
        <x:v>2</x:v>
      </x:c>
      <x:c r="K55" s="12" t="n">
        <x:f>IFERROR(I55*26*J55,0)</x:f>
        <x:v>1123200</x:v>
      </x:c>
      <x:c r="L55" s="12" t="n">
        <x:f>IFERROR(H55/I55,0)</x:f>
        <x:v>0.22376527777777777</x:v>
      </x:c>
      <x:c r="M55" s="12" t="n">
        <x:f>IFERROR(26*J55,0)</x:f>
        <x:v>52</x:v>
      </x:c>
      <x:c r="N55" s="14" t="n">
        <x:f>IFERROR(L55/M55,0)</x:f>
        <x:v>0.0043031784188034185</x:v>
      </x:c>
      <x:c r="O55" s="14" t="n">
        <x:v>0.6</x:v>
      </x:c>
      <x:c r="P55" s="9" t="n">
        <x:v>1</x:v>
      </x:c>
      <x:c r="Q55" s="9"/>
      <x:c r="R55" s="10" t="str">
        <x:f>IF(N55&gt;1,"Over capacity",IF(N55&gt;=0.85,"High load",IF(N55&gt;=0.5,"Normal","Low load")))</x:f>
        <x:v>Low load</x:v>
      </x:c>
    </x:row>
    <x:row r="56">
      <x:c r="A56" s="8" t="str">
        <x:v>110T产能5#</x:v>
      </x:c>
      <x:c r="B56" s="9" t="str">
        <x:v>110T 按10H</x:v>
      </x:c>
      <x:c r="C56" s="9"/>
      <x:c r="D56" s="9"/>
      <x:c r="E56" s="9" t="str">
        <x:v>Coil Output A1</x:v>
      </x:c>
      <x:c r="F56" s="9"/>
      <x:c r="G56" s="9" t="str">
        <x:v>MFR73710</x:v>
      </x:c>
      <x:c r="H56" s="12" t="n">
        <x:v>3575</x:v>
      </x:c>
      <x:c r="I56" s="12" t="n">
        <x:v>39600</x:v>
      </x:c>
      <x:c r="J56" s="12" t="n">
        <x:v>2</x:v>
      </x:c>
      <x:c r="K56" s="12" t="n">
        <x:f>IFERROR(I56*26*J56,0)</x:f>
        <x:v>2059200</x:v>
      </x:c>
      <x:c r="L56" s="12" t="n">
        <x:f>IFERROR(H56/I56,0)</x:f>
        <x:v>0.09027777777777778</x:v>
      </x:c>
      <x:c r="M56" s="12" t="n">
        <x:f>IFERROR(26*J56,0)</x:f>
        <x:v>52</x:v>
      </x:c>
      <x:c r="N56" s="14" t="n">
        <x:f>IFERROR(L56/M56,0)</x:f>
        <x:v>0.001736111111111111</x:v>
      </x:c>
      <x:c r="O56" s="14" t="n">
        <x:v>0.6</x:v>
      </x:c>
      <x:c r="P56" s="9" t="n">
        <x:v>2</x:v>
      </x:c>
      <x:c r="Q56" s="9"/>
      <x:c r="R56" s="10" t="str">
        <x:f>IF(N56&gt;1,"Over capacity",IF(N56&gt;=0.85,"High load",IF(N56&gt;=0.5,"Normal","Low load")))</x:f>
        <x:v>Low load</x:v>
      </x:c>
    </x:row>
    <x:row r="57">
      <x:c r="A57" s="8" t="str">
        <x:v>110T产能5#</x:v>
      </x:c>
      <x:c r="B57" s="9" t="str">
        <x:v>110T 按10H</x:v>
      </x:c>
      <x:c r="C57" s="9"/>
      <x:c r="D57" s="9"/>
      <x:c r="E57" s="9" t="str">
        <x:v>Coil Output A2</x:v>
      </x:c>
      <x:c r="F57" s="9"/>
      <x:c r="G57" s="9" t="str">
        <x:v>MFR73711</x:v>
      </x:c>
      <x:c r="H57" s="12" t="n">
        <x:v>3575</x:v>
      </x:c>
      <x:c r="I57" s="12" t="n">
        <x:v>39600</x:v>
      </x:c>
      <x:c r="J57" s="12" t="n">
        <x:v>2</x:v>
      </x:c>
      <x:c r="K57" s="12" t="n">
        <x:f>IFERROR(I57*26*J57,0)</x:f>
        <x:v>2059200</x:v>
      </x:c>
      <x:c r="L57" s="12" t="n">
        <x:f>IFERROR(H57/I57,0)</x:f>
        <x:v>0.09027777777777778</x:v>
      </x:c>
      <x:c r="M57" s="12" t="n">
        <x:f>IFERROR(26*J57,0)</x:f>
        <x:v>52</x:v>
      </x:c>
      <x:c r="N57" s="14" t="n">
        <x:f>IFERROR(L57/M57,0)</x:f>
        <x:v>0.001736111111111111</x:v>
      </x:c>
      <x:c r="O57" s="14" t="n">
        <x:v>0.6</x:v>
      </x:c>
      <x:c r="P57" s="9" t="n">
        <x:v>2</x:v>
      </x:c>
      <x:c r="Q57" s="9"/>
      <x:c r="R57" s="10" t="str">
        <x:f>IF(N57&gt;1,"Over capacity",IF(N57&gt;=0.85,"High load",IF(N57&gt;=0.5,"Normal","Low load")))</x:f>
        <x:v>Low load</x:v>
      </x:c>
    </x:row>
    <x:row r="58">
      <x:c r="A58" s="8" t="str">
        <x:v>110T产能5#</x:v>
      </x:c>
      <x:c r="B58" s="9" t="str">
        <x:v>110T 按10H</x:v>
      </x:c>
      <x:c r="C58" s="9"/>
      <x:c r="D58" s="9"/>
      <x:c r="E58" s="9" t="str">
        <x:v>SORTIE BOBINE BORNE A1</x:v>
      </x:c>
      <x:c r="F58" s="9"/>
      <x:c r="G58" s="9" t="str">
        <x:v>W113791660114</x:v>
      </x:c>
      <x:c r="H58" s="12" t="n">
        <x:v>48333.33</x:v>
      </x:c>
      <x:c r="I58" s="12" t="n">
        <x:v>21600</x:v>
      </x:c>
      <x:c r="J58" s="12" t="n">
        <x:v>2</x:v>
      </x:c>
      <x:c r="K58" s="12" t="n">
        <x:f>IFERROR(I58*26*J58,0)</x:f>
        <x:v>1123200</x:v>
      </x:c>
      <x:c r="L58" s="12" t="n">
        <x:f>IFERROR(H58/I58,0)</x:f>
        <x:v>2.2376541666666667</x:v>
      </x:c>
      <x:c r="M58" s="12" t="n">
        <x:f>IFERROR(26*J58,0)</x:f>
        <x:v>52</x:v>
      </x:c>
      <x:c r="N58" s="14" t="n">
        <x:f>IFERROR(L58/M58,0)</x:f>
        <x:v>0.0430318108974359</x:v>
      </x:c>
      <x:c r="O58" s="14" t="n">
        <x:v>0.6</x:v>
      </x:c>
      <x:c r="P58" s="9" t="n">
        <x:v>1</x:v>
      </x:c>
      <x:c r="Q58" s="9"/>
      <x:c r="R58" s="10" t="str">
        <x:f>IF(N58&gt;1,"Over capacity",IF(N58&gt;=0.85,"High load",IF(N58&gt;=0.5,"Normal","Low load")))</x:f>
        <x:v>Low load</x:v>
      </x:c>
    </x:row>
    <x:row r="59">
      <x:c r="A59" s="8" t="str">
        <x:v>110T产能5#</x:v>
      </x:c>
      <x:c r="B59" s="9" t="str">
        <x:v>110T 按10H</x:v>
      </x:c>
      <x:c r="C59" s="9"/>
      <x:c r="D59" s="9"/>
      <x:c r="E59" s="9" t="str">
        <x:v>SORTIE BOBINE BORNE A2</x:v>
      </x:c>
      <x:c r="F59" s="9"/>
      <x:c r="G59" s="9" t="str">
        <x:v>W113791670114</x:v>
      </x:c>
      <x:c r="H59" s="12" t="n">
        <x:v>48333.33</x:v>
      </x:c>
      <x:c r="I59" s="12" t="n">
        <x:v>21600</x:v>
      </x:c>
      <x:c r="J59" s="12" t="n">
        <x:v>2</x:v>
      </x:c>
      <x:c r="K59" s="12" t="n">
        <x:f>IFERROR(I59*26*J59,0)</x:f>
        <x:v>1123200</x:v>
      </x:c>
      <x:c r="L59" s="12" t="n">
        <x:f>IFERROR(H59/I59,0)</x:f>
        <x:v>2.2376541666666667</x:v>
      </x:c>
      <x:c r="M59" s="12" t="n">
        <x:f>IFERROR(26*J59,0)</x:f>
        <x:v>52</x:v>
      </x:c>
      <x:c r="N59" s="14" t="n">
        <x:f>IFERROR(L59/M59,0)</x:f>
        <x:v>0.0430318108974359</x:v>
      </x:c>
      <x:c r="O59" s="14" t="n">
        <x:v>0.6</x:v>
      </x:c>
      <x:c r="P59" s="9" t="n">
        <x:v>1</x:v>
      </x:c>
      <x:c r="Q59" s="9"/>
      <x:c r="R59" s="10" t="str">
        <x:f>IF(N59&gt;1,"Over capacity",IF(N59&gt;=0.85,"High load",IF(N59&gt;=0.5,"Normal","Low load")))</x:f>
        <x:v>Low load</x:v>
      </x:c>
    </x:row>
    <x:row r="60">
      <x:c r="A60" s="8" t="str">
        <x:v>110T产能5#</x:v>
      </x:c>
      <x:c r="B60" s="9" t="str">
        <x:v>110T 按10H</x:v>
      </x:c>
      <x:c r="C60" s="9"/>
      <x:c r="D60" s="9"/>
      <x:c r="E60" s="9" t="str">
        <x:v>CG TIE BAR</x:v>
      </x:c>
      <x:c r="F60" s="9"/>
      <x:c r="G60" s="9" t="str">
        <x:v>1118183-AB</x:v>
      </x:c>
      <x:c r="H60" s="12" t="n">
        <x:v>13461</x:v>
      </x:c>
      <x:c r="I60" s="12" t="n">
        <x:v>43200</x:v>
      </x:c>
      <x:c r="J60" s="12" t="n">
        <x:v>2</x:v>
      </x:c>
      <x:c r="K60" s="12" t="n">
        <x:f>IFERROR(I60*26*J60,0)</x:f>
        <x:v>2246400</x:v>
      </x:c>
      <x:c r="L60" s="12" t="n">
        <x:f>IFERROR(H60/I60,0)</x:f>
        <x:v>0.31159722222222225</x:v>
      </x:c>
      <x:c r="M60" s="12" t="n">
        <x:f>IFERROR(26*J60,0)</x:f>
        <x:v>52</x:v>
      </x:c>
      <x:c r="N60" s="14" t="n">
        <x:f>IFERROR(L60/M60,0)</x:f>
        <x:v>0.005992254273504274</x:v>
      </x:c>
      <x:c r="O60" s="14" t="n">
        <x:v>0.6</x:v>
      </x:c>
      <x:c r="P60" s="9" t="n">
        <x:v>2</x:v>
      </x:c>
      <x:c r="Q60" s="9"/>
      <x:c r="R60" s="10" t="str">
        <x:f>IF(N60&gt;1,"Over capacity",IF(N60&gt;=0.85,"High load",IF(N60&gt;=0.5,"Normal","Low load")))</x:f>
        <x:v>Low load</x:v>
      </x:c>
    </x:row>
    <x:row r="61">
      <x:c r="A61" s="8" t="str">
        <x:v>110T产能5#</x:v>
      </x:c>
      <x:c r="B61" s="9" t="str">
        <x:v>110T 按10H</x:v>
      </x:c>
      <x:c r="C61" s="9"/>
      <x:c r="D61" s="9"/>
      <x:c r="E61" s="9" t="str">
        <x:v>CG TIE BAR 92295</x:v>
      </x:c>
      <x:c r="F61" s="9"/>
      <x:c r="G61" s="9" t="str">
        <x:v>1106702-AA（1092295-AF1）</x:v>
      </x:c>
      <x:c r="H61" s="12" t="n">
        <x:v>13461</x:v>
      </x:c>
      <x:c r="I61" s="12" t="n">
        <x:v>21600</x:v>
      </x:c>
      <x:c r="J61" s="12" t="n">
        <x:v>2</x:v>
      </x:c>
      <x:c r="K61" s="12" t="n">
        <x:f>IFERROR(I61*26*J61,0)</x:f>
        <x:v>1123200</x:v>
      </x:c>
      <x:c r="L61" s="12" t="n">
        <x:f>IFERROR(H61/I61,0)</x:f>
        <x:v>0.6231944444444445</x:v>
      </x:c>
      <x:c r="M61" s="12" t="n">
        <x:f>IFERROR(26*J61,0)</x:f>
        <x:v>52</x:v>
      </x:c>
      <x:c r="N61" s="14" t="n">
        <x:f>IFERROR(L61/M61,0)</x:f>
        <x:v>0.011984508547008547</x:v>
      </x:c>
      <x:c r="O61" s="14" t="n">
        <x:v>0.6</x:v>
      </x:c>
      <x:c r="P61" s="9" t="n">
        <x:v>1</x:v>
      </x:c>
      <x:c r="Q61" s="9"/>
      <x:c r="R61" s="10" t="str">
        <x:f>IF(N61&gt;1,"Over capacity",IF(N61&gt;=0.85,"High load",IF(N61&gt;=0.5,"Normal","Low load")))</x:f>
        <x:v>Low load</x:v>
      </x:c>
    </x:row>
    <x:row r="62">
      <x:c r="A62" s="8" t="str">
        <x:v>110T产能5#</x:v>
      </x:c>
      <x:c r="B62" s="9" t="str">
        <x:v>110T 按10H</x:v>
      </x:c>
      <x:c r="C62" s="9"/>
      <x:c r="D62" s="9"/>
      <x:c r="E62" s="9" t="str">
        <x:v>PLATE THREAD</x:v>
      </x:c>
      <x:c r="F62" s="9"/>
      <x:c r="G62" s="9" t="str">
        <x:v>48187084</x:v>
      </x:c>
      <x:c r="H62" s="12" t="n">
        <x:v>2000</x:v>
      </x:c>
      <x:c r="I62" s="12" t="n">
        <x:v>23400</x:v>
      </x:c>
      <x:c r="J62" s="12" t="n">
        <x:v>2</x:v>
      </x:c>
      <x:c r="K62" s="12" t="n">
        <x:f>IFERROR(I62*26*J62,0)</x:f>
        <x:v>1216800</x:v>
      </x:c>
      <x:c r="L62" s="12" t="n">
        <x:f>IFERROR(H62/I62,0)</x:f>
        <x:v>0.08547008547008547</x:v>
      </x:c>
      <x:c r="M62" s="12" t="n">
        <x:f>IFERROR(26*J62,0)</x:f>
        <x:v>52</x:v>
      </x:c>
      <x:c r="N62" s="14" t="n">
        <x:f>IFERROR(L62/M62,0)</x:f>
        <x:v>0.001643655489809336</x:v>
      </x:c>
      <x:c r="O62" s="14" t="n">
        <x:v>0.6</x:v>
      </x:c>
      <x:c r="P62" s="9" t="n">
        <x:v>1</x:v>
      </x:c>
      <x:c r="Q62" s="9"/>
      <x:c r="R62" s="10" t="str">
        <x:f>IF(N62&gt;1,"Over capacity",IF(N62&gt;=0.85,"High load",IF(N62&gt;=0.5,"Normal","Low load")))</x:f>
        <x:v>Low load</x:v>
      </x:c>
    </x:row>
    <x:row r="63">
      <x:c r="A63" s="8" t="str">
        <x:v>110T产能5#</x:v>
      </x:c>
      <x:c r="B63" s="9" t="str">
        <x:v>110T 按10H</x:v>
      </x:c>
      <x:c r="C63" s="9"/>
      <x:c r="D63" s="9"/>
      <x:c r="E63" s="9" t="str">
        <x:v>SPACER PLATE 2</x:v>
      </x:c>
      <x:c r="F63" s="9"/>
      <x:c r="G63" s="9" t="str">
        <x:v>SB-092B-1-5</x:v>
      </x:c>
      <x:c r="H63" s="12" t="n">
        <x:v>2210</x:v>
      </x:c>
      <x:c r="I63" s="12" t="n">
        <x:v>9000</x:v>
      </x:c>
      <x:c r="J63" s="12" t="n">
        <x:v>1</x:v>
      </x:c>
      <x:c r="K63" s="12" t="n">
        <x:f>IFERROR(I63*26*J63,0)</x:f>
        <x:v>234000</x:v>
      </x:c>
      <x:c r="L63" s="12" t="n">
        <x:f>IFERROR(H63/I63,0)</x:f>
        <x:v>0.24555555555555555</x:v>
      </x:c>
      <x:c r="M63" s="12" t="n">
        <x:f>IFERROR(26*J63,0)</x:f>
        <x:v>26</x:v>
      </x:c>
      <x:c r="N63" s="14" t="n">
        <x:f>IFERROR(L63/M63,0)</x:f>
        <x:v>0.009444444444444445</x:v>
      </x:c>
      <x:c r="O63" s="14" t="n">
        <x:v>0.6</x:v>
      </x:c>
      <x:c r="P63" s="9" t="n">
        <x:v>1</x:v>
      </x:c>
      <x:c r="Q63" s="9"/>
      <x:c r="R63" s="10" t="str">
        <x:f>IF(N63&gt;1,"Over capacity",IF(N63&gt;=0.85,"High load",IF(N63&gt;=0.5,"Normal","Low load")))</x:f>
        <x:v>Low load</x:v>
      </x:c>
    </x:row>
    <x:row r="64">
      <x:c r="A64" s="8" t="str">
        <x:v>110T产能5#</x:v>
      </x:c>
      <x:c r="B64" s="9" t="str">
        <x:v>110T 按10H</x:v>
      </x:c>
      <x:c r="C64" s="9"/>
      <x:c r="D64" s="9"/>
      <x:c r="E64" s="9" t="str">
        <x:v>YOKE</x:v>
      </x:c>
      <x:c r="F64" s="9"/>
      <x:c r="G64" s="9" t="str">
        <x:v>48187064AA</x:v>
      </x:c>
      <x:c r="H64" s="12" t="n">
        <x:v>500000</x:v>
      </x:c>
      <x:c r="I64" s="12" t="n">
        <x:v>86400</x:v>
      </x:c>
      <x:c r="J64" s="12" t="n">
        <x:v>2</x:v>
      </x:c>
      <x:c r="K64" s="12" t="n">
        <x:f>IFERROR(I64*26*J64,0)</x:f>
        <x:v>4492800</x:v>
      </x:c>
      <x:c r="L64" s="12" t="n">
        <x:f>IFERROR(H64/I64,0)</x:f>
        <x:v>5.787037037037037</x:v>
      </x:c>
      <x:c r="M64" s="12" t="n">
        <x:f>IFERROR(26*J64,0)</x:f>
        <x:v>52</x:v>
      </x:c>
      <x:c r="N64" s="14" t="n">
        <x:f>IFERROR(L64/M64,0)</x:f>
        <x:v>0.11128917378917379</x:v>
      </x:c>
      <x:c r="O64" s="14" t="n">
        <x:v>0.6</x:v>
      </x:c>
      <x:c r="P64" s="9" t="n">
        <x:v>4</x:v>
      </x:c>
      <x:c r="Q64" s="9"/>
      <x:c r="R64" s="10" t="str">
        <x:f>IF(N64&gt;1,"Over capacity",IF(N64&gt;=0.85,"High load",IF(N64&gt;=0.5,"Normal","Low load")))</x:f>
        <x:v>Low load</x:v>
      </x:c>
    </x:row>
    <x:row r="65">
      <x:c r="A65" s="8" t="str">
        <x:v>110T产能5#</x:v>
      </x:c>
      <x:c r="B65" s="9" t="str">
        <x:v>110T 按10H</x:v>
      </x:c>
      <x:c r="C65" s="9"/>
      <x:c r="D65" s="9"/>
      <x:c r="E65" s="9" t="str">
        <x:v>Lowerlink</x:v>
      </x:c>
      <x:c r="F65" s="9"/>
      <x:c r="G65" s="9" t="str">
        <x:v>48187059</x:v>
      </x:c>
      <x:c r="H65" s="12" t="n">
        <x:v>110350.92</x:v>
      </x:c>
      <x:c r="I65" s="12" t="n">
        <x:v>28800</x:v>
      </x:c>
      <x:c r="J65" s="12" t="n">
        <x:v>2</x:v>
      </x:c>
      <x:c r="K65" s="12" t="n">
        <x:f>IFERROR(I65*26*J65,0)</x:f>
        <x:v>1497600</x:v>
      </x:c>
      <x:c r="L65" s="12" t="n">
        <x:f>IFERROR(H65/I65,0)</x:f>
        <x:v>3.8316291666666666</x:v>
      </x:c>
      <x:c r="M65" s="12" t="n">
        <x:f>IFERROR(26*J65,0)</x:f>
        <x:v>52</x:v>
      </x:c>
      <x:c r="N65" s="14" t="n">
        <x:f>IFERROR(L65/M65,0)</x:f>
        <x:v>0.07368517628205128</x:v>
      </x:c>
      <x:c r="O65" s="14" t="n">
        <x:v>0.6</x:v>
      </x:c>
      <x:c r="P65" s="9" t="n">
        <x:v>1</x:v>
      </x:c>
      <x:c r="Q65" s="9"/>
      <x:c r="R65" s="10" t="str">
        <x:f>IF(N65&gt;1,"Over capacity",IF(N65&gt;=0.85,"High load",IF(N65&gt;=0.5,"Normal","Low load")))</x:f>
        <x:v>Low load</x:v>
      </x:c>
    </x:row>
    <x:row r="66">
      <x:c r="A66" s="8" t="str">
        <x:v>110T产能5#</x:v>
      </x:c>
      <x:c r="B66" s="9" t="str">
        <x:v>110T 按10H</x:v>
      </x:c>
      <x:c r="C66" s="9"/>
      <x:c r="D66" s="9"/>
      <x:c r="E66" s="9" t="str">
        <x:v>UPPER LINK</x:v>
      </x:c>
      <x:c r="F66" s="9" t="str">
        <x:v>NT-20</x:v>
      </x:c>
      <x:c r="G66" s="9" t="str">
        <x:v>48187060AA</x:v>
      </x:c>
      <x:c r="H66" s="12" t="n">
        <x:v>120000</x:v>
      </x:c>
      <x:c r="I66" s="12" t="n">
        <x:v>46800</x:v>
      </x:c>
      <x:c r="J66" s="12" t="n">
        <x:v>2</x:v>
      </x:c>
      <x:c r="K66" s="12" t="n">
        <x:f>IFERROR(I66*26*J66,0)</x:f>
        <x:v>2433600</x:v>
      </x:c>
      <x:c r="L66" s="12" t="n">
        <x:f>IFERROR(H66/I66,0)</x:f>
        <x:v>2.5641025641025643</x:v>
      </x:c>
      <x:c r="M66" s="12" t="n">
        <x:f>IFERROR(26*J66,0)</x:f>
        <x:v>52</x:v>
      </x:c>
      <x:c r="N66" s="14" t="n">
        <x:f>IFERROR(L66/M66,0)</x:f>
        <x:v>0.04930966469428008</x:v>
      </x:c>
      <x:c r="O66" s="14" t="n">
        <x:v>0.6</x:v>
      </x:c>
      <x:c r="P66" s="9" t="n">
        <x:v>2</x:v>
      </x:c>
      <x:c r="Q66" s="9"/>
      <x:c r="R66" s="10" t="str">
        <x:f>IF(N66&gt;1,"Over capacity",IF(N66&gt;=0.85,"High load",IF(N66&gt;=0.5,"Normal","Low load")))</x:f>
        <x:v>Low load</x:v>
      </x:c>
    </x:row>
    <x:row r="67">
      <x:c r="A67" s="8" t="str">
        <x:v>150T产能6#</x:v>
      </x:c>
      <x:c r="B67" s="9" t="str">
        <x:v>150T</x:v>
      </x:c>
      <x:c r="C67" s="9"/>
      <x:c r="D67" s="9"/>
      <x:c r="E67" s="9" t="str">
        <x:v>MECH SIDE L/R</x:v>
      </x:c>
      <x:c r="F67" s="9"/>
      <x:c r="G67" s="9" t="str">
        <x:v>48187088AA  48187089AA</x:v>
      </x:c>
      <x:c r="H67" s="12" t="n">
        <x:v>80000</x:v>
      </x:c>
      <x:c r="I67" s="12" t="n">
        <x:v>21600</x:v>
      </x:c>
      <x:c r="J67" s="12" t="n">
        <x:v>1</x:v>
      </x:c>
      <x:c r="K67" s="12" t="n">
        <x:f>IFERROR(I67*26*J67,0)</x:f>
        <x:v>561600</x:v>
      </x:c>
      <x:c r="L67" s="12" t="n">
        <x:f>IFERROR(H67/I67,0)</x:f>
        <x:v>3.7037037037037037</x:v>
      </x:c>
      <x:c r="M67" s="12" t="n">
        <x:f>IFERROR(26*J67,0)</x:f>
        <x:v>26</x:v>
      </x:c>
      <x:c r="N67" s="14" t="n">
        <x:f>IFERROR(L67/M67,0)</x:f>
        <x:v>0.14245014245014245</x:v>
      </x:c>
      <x:c r="O67" s="14" t="n">
        <x:v>0.6</x:v>
      </x:c>
      <x:c r="P67" s="9" t="n">
        <x:v>1</x:v>
      </x:c>
      <x:c r="Q67" s="9"/>
      <x:c r="R67" s="10" t="str">
        <x:f>IF(N67&gt;1,"Over capacity",IF(N67&gt;=0.85,"High load",IF(N67&gt;=0.5,"Normal","Low load")))</x:f>
        <x:v>Low load</x:v>
      </x:c>
    </x:row>
    <x:row r="68">
      <x:c r="A68" s="8" t="str">
        <x:v>150T产能6#</x:v>
      </x:c>
      <x:c r="B68" s="9" t="str">
        <x:v>150T</x:v>
      </x:c>
      <x:c r="C68" s="9"/>
      <x:c r="D68" s="9"/>
      <x:c r="E68" s="9" t="str">
        <x:v>PLATE</x:v>
      </x:c>
      <x:c r="F68" s="9"/>
      <x:c r="G68" s="9" t="str">
        <x:v>TH-496A-2</x:v>
      </x:c>
      <x:c r="H68" s="12" t="n">
        <x:v>13000</x:v>
      </x:c>
      <x:c r="I68" s="12" t="n">
        <x:v>10800</x:v>
      </x:c>
      <x:c r="J68" s="12" t="n">
        <x:v>1</x:v>
      </x:c>
      <x:c r="K68" s="12" t="n">
        <x:f>IFERROR(I68*26*J68,0)</x:f>
        <x:v>280800</x:v>
      </x:c>
      <x:c r="L68" s="12" t="n">
        <x:f>IFERROR(H68/I68,0)</x:f>
        <x:v>1.2037037037037037</x:v>
      </x:c>
      <x:c r="M68" s="12" t="n">
        <x:f>IFERROR(26*J68,0)</x:f>
        <x:v>26</x:v>
      </x:c>
      <x:c r="N68" s="14" t="n">
        <x:f>IFERROR(L68/M68,0)</x:f>
        <x:v>0.046296296296296294</x:v>
      </x:c>
      <x:c r="O68" s="14" t="n">
        <x:v>0.6</x:v>
      </x:c>
      <x:c r="P68" s="9" t="n">
        <x:v>1</x:v>
      </x:c>
      <x:c r="Q68" s="9"/>
      <x:c r="R68" s="10" t="str">
        <x:f>IF(N68&gt;1,"Over capacity",IF(N68&gt;=0.85,"High load",IF(N68&gt;=0.5,"Normal","Low load")))</x:f>
        <x:v>Low load</x:v>
      </x:c>
    </x:row>
    <x:row r="69">
      <x:c r="A69" s="8" t="str">
        <x:v>150T产能6#</x:v>
      </x:c>
      <x:c r="B69" s="9" t="str">
        <x:v>150T</x:v>
      </x:c>
      <x:c r="C69" s="9"/>
      <x:c r="D69" s="9"/>
      <x:c r="E69" s="9" t="str">
        <x:v>Secondary latch</x:v>
      </x:c>
      <x:c r="F69" s="9"/>
      <x:c r="G69" s="9" t="str">
        <x:v>48187062</x:v>
      </x:c>
      <x:c r="H69" s="12" t="n">
        <x:v>220000</x:v>
      </x:c>
      <x:c r="I69" s="12" t="n">
        <x:v>43200</x:v>
      </x:c>
      <x:c r="J69" s="12" t="n">
        <x:v>1</x:v>
      </x:c>
      <x:c r="K69" s="12" t="n">
        <x:f>IFERROR(I69*26*J69,0)</x:f>
        <x:v>1123200</x:v>
      </x:c>
      <x:c r="L69" s="12" t="n">
        <x:f>IFERROR(H69/I69,0)</x:f>
        <x:v>5.092592592592593</x:v>
      </x:c>
      <x:c r="M69" s="12" t="n">
        <x:f>IFERROR(26*J69,0)</x:f>
        <x:v>26</x:v>
      </x:c>
      <x:c r="N69" s="14" t="n">
        <x:f>IFERROR(L69/M69,0)</x:f>
        <x:v>0.19586894586894588</x:v>
      </x:c>
      <x:c r="O69" s="14" t="n">
        <x:v>0.6</x:v>
      </x:c>
      <x:c r="P69" s="9" t="n">
        <x:v>2</x:v>
      </x:c>
      <x:c r="Q69" s="9"/>
      <x:c r="R69" s="10" t="str">
        <x:f>IF(N69&gt;1,"Over capacity",IF(N69&gt;=0.85,"High load",IF(N69&gt;=0.5,"Normal","Low load")))</x:f>
        <x:v>Low load</x:v>
      </x:c>
    </x:row>
    <x:row r="70">
      <x:c r="A70" s="8" t="str">
        <x:v>150T产能6#</x:v>
      </x:c>
      <x:c r="B70" s="9" t="str">
        <x:v>150T产能6#</x:v>
      </x:c>
      <x:c r="C70" s="9"/>
      <x:c r="D70" s="9"/>
      <x:c r="E70" s="9" t="str">
        <x:v>机构左右侧板L</x:v>
      </x:c>
      <x:c r="F70" s="9"/>
      <x:c r="G70" s="9" t="str">
        <x:v>48187088AA</x:v>
      </x:c>
      <x:c r="H70" s="12" t="n">
        <x:v>110833</x:v>
      </x:c>
      <x:c r="I70" s="12" t="n">
        <x:v>5000</x:v>
      </x:c>
      <x:c r="J70" s="12" t="n">
        <x:v>1</x:v>
      </x:c>
      <x:c r="K70" s="12" t="n">
        <x:f>IFERROR(I70*26*J70,0)</x:f>
        <x:v>130000</x:v>
      </x:c>
      <x:c r="L70" s="12" t="n">
        <x:f>IFERROR(H70/I70,0)</x:f>
        <x:v>22.1666</x:v>
      </x:c>
      <x:c r="M70" s="12" t="n">
        <x:f>IFERROR(26*J70,0)</x:f>
        <x:v>26</x:v>
      </x:c>
      <x:c r="N70" s="14" t="n">
        <x:f>IFERROR(L70/M70,0)</x:f>
        <x:v>0.8525615384615384</x:v>
      </x:c>
      <x:c r="O70" s="14"/>
      <x:c r="P70" s="9" t="n">
        <x:v>1</x:v>
      </x:c>
      <x:c r="Q70" s="9"/>
      <x:c r="R70" s="10" t="str">
        <x:f>IF(N70&gt;1,"Over capacity",IF(N70&gt;=0.85,"High load",IF(N70&gt;=0.5,"Normal","Low load")))</x:f>
        <x:v>High load</x:v>
      </x:c>
    </x:row>
    <x:row r="71">
      <x:c r="A71" s="8" t="str">
        <x:v>150T产能6#</x:v>
      </x:c>
      <x:c r="B71" s="9" t="str">
        <x:v>150T产能6#</x:v>
      </x:c>
      <x:c r="C71" s="9"/>
      <x:c r="D71" s="9"/>
      <x:c r="E71" s="9" t="str">
        <x:v>机构左右侧板R</x:v>
      </x:c>
      <x:c r="F71" s="9"/>
      <x:c r="G71" s="9" t="str">
        <x:v>48187089AA</x:v>
      </x:c>
      <x:c r="H71" s="12" t="n">
        <x:v>110833</x:v>
      </x:c>
      <x:c r="I71" s="12" t="n">
        <x:v>5000</x:v>
      </x:c>
      <x:c r="J71" s="12" t="n">
        <x:v>1</x:v>
      </x:c>
      <x:c r="K71" s="12" t="n">
        <x:f>IFERROR(I71*26*J71,0)</x:f>
        <x:v>130000</x:v>
      </x:c>
      <x:c r="L71" s="12" t="n">
        <x:f>IFERROR(H71/I71,0)</x:f>
        <x:v>22.1666</x:v>
      </x:c>
      <x:c r="M71" s="12" t="n">
        <x:f>IFERROR(26*J71,0)</x:f>
        <x:v>26</x:v>
      </x:c>
      <x:c r="N71" s="14" t="n">
        <x:f>IFERROR(L71/M71,0)</x:f>
        <x:v>0.8525615384615384</x:v>
      </x:c>
      <x:c r="O71" s="14"/>
      <x:c r="P71" s="9" t="n">
        <x:v>1</x:v>
      </x:c>
      <x:c r="Q71" s="9"/>
      <x:c r="R71" s="10" t="str">
        <x:f>IF(N71&gt;1,"Over capacity",IF(N71&gt;=0.85,"High load",IF(N71&gt;=0.5,"Normal","Low load")))</x:f>
        <x:v>High load</x:v>
      </x:c>
    </x:row>
    <x:row r="72">
      <x:c r="A72" s="8" t="str">
        <x:v>300T 产能分析 7#</x:v>
      </x:c>
      <x:c r="B72" s="9" t="str">
        <x:v>300T</x:v>
      </x:c>
      <x:c r="C72" s="9" t="str">
        <x:v>泰国东海</x:v>
      </x:c>
      <x:c r="D72" s="9" t="str">
        <x:v>已量产</x:v>
      </x:c>
      <x:c r="E72" s="9" t="str">
        <x:v>UPPER PLATE</x:v>
      </x:c>
      <x:c r="F72" s="9" t="str">
        <x:v>TM-755A-1</x:v>
      </x:c>
      <x:c r="G72" s="9"/>
      <x:c r="H72" s="12" t="n">
        <x:v>140000</x:v>
      </x:c>
      <x:c r="I72" s="12" t="n">
        <x:v>10500</x:v>
      </x:c>
      <x:c r="J72" s="12" t="n">
        <x:v>1</x:v>
      </x:c>
      <x:c r="K72" s="12" t="n">
        <x:f>IFERROR(I72*26*J72,0)</x:f>
        <x:v>273000</x:v>
      </x:c>
      <x:c r="L72" s="12" t="n">
        <x:f>IFERROR(H72/I72,0)</x:f>
        <x:v>13.333333333333334</x:v>
      </x:c>
      <x:c r="M72" s="12" t="n">
        <x:f>IFERROR(26*J72,0)</x:f>
        <x:v>26</x:v>
      </x:c>
      <x:c r="N72" s="14" t="n">
        <x:f>IFERROR(L72/M72,0)</x:f>
        <x:v>0.5128205128205129</x:v>
      </x:c>
      <x:c r="O72" s="14" t="n">
        <x:v>0.7</x:v>
      </x:c>
      <x:c r="P72" s="9" t="n">
        <x:v>1</x:v>
      </x:c>
      <x:c r="Q72" s="9"/>
      <x:c r="R72" s="10" t="str">
        <x:f>IF(N72&gt;1,"Over capacity",IF(N72&gt;=0.85,"High load",IF(N72&gt;=0.5,"Normal","Low load")))</x:f>
        <x:v>Normal</x:v>
      </x:c>
    </x:row>
    <x:row r="73">
      <x:c r="A73" s="8" t="str">
        <x:v>300T 产能分析 7#</x:v>
      </x:c>
      <x:c r="B73" s="9" t="str">
        <x:v>300T</x:v>
      </x:c>
      <x:c r="C73" s="9" t="str">
        <x:v>泰国东海</x:v>
      </x:c>
      <x:c r="D73" s="9" t="str">
        <x:v>已量产</x:v>
      </x:c>
      <x:c r="E73" s="9" t="str">
        <x:v>LOWER BASE</x:v>
      </x:c>
      <x:c r="F73" s="9" t="str">
        <x:v>SB-042B-2-2-1</x:v>
      </x:c>
      <x:c r="G73" s="9"/>
      <x:c r="H73" s="12" t="n">
        <x:v>6000</x:v>
      </x:c>
      <x:c r="I73" s="12" t="n">
        <x:v>10500</x:v>
      </x:c>
      <x:c r="J73" s="12" t="n">
        <x:v>1</x:v>
      </x:c>
      <x:c r="K73" s="12" t="n">
        <x:f>IFERROR(I73*26*J73,0)</x:f>
        <x:v>273000</x:v>
      </x:c>
      <x:c r="L73" s="12" t="n">
        <x:f>IFERROR(H73/I73,0)</x:f>
        <x:v>0.5714285714285714</x:v>
      </x:c>
      <x:c r="M73" s="12" t="n">
        <x:f>IFERROR(26*J73,0)</x:f>
        <x:v>26</x:v>
      </x:c>
      <x:c r="N73" s="14" t="n">
        <x:f>IFERROR(L73/M73,0)</x:f>
        <x:v>0.021978021978021976</x:v>
      </x:c>
      <x:c r="O73" s="14" t="n">
        <x:v>0.7</x:v>
      </x:c>
      <x:c r="P73" s="9" t="n">
        <x:v>1</x:v>
      </x:c>
      <x:c r="Q73" s="9"/>
      <x:c r="R73" s="10" t="str">
        <x:f>IF(N73&gt;1,"Over capacity",IF(N73&gt;=0.85,"High load",IF(N73&gt;=0.5,"Normal","Low load")))</x:f>
        <x:v>Low load</x:v>
      </x:c>
    </x:row>
    <x:row r="74">
      <x:c r="A74" s="8" t="str">
        <x:v>300T 产能分析 7#</x:v>
      </x:c>
      <x:c r="B74" s="9" t="str">
        <x:v>300T</x:v>
      </x:c>
      <x:c r="C74" s="9" t="str">
        <x:v>泰国东海</x:v>
      </x:c>
      <x:c r="D74" s="9" t="str">
        <x:v>已量产</x:v>
      </x:c>
      <x:c r="E74" s="9" t="str">
        <x:v>ORIFICE PLATE</x:v>
      </x:c>
      <x:c r="F74" s="9" t="str">
        <x:v>SB-062A-2</x:v>
      </x:c>
      <x:c r="G74" s="9"/>
      <x:c r="H74" s="12" t="n">
        <x:v>3000</x:v>
      </x:c>
      <x:c r="I74" s="12" t="n">
        <x:v>10500</x:v>
      </x:c>
      <x:c r="J74" s="12" t="n">
        <x:v>1</x:v>
      </x:c>
      <x:c r="K74" s="12" t="n">
        <x:f>IFERROR(I74*26*J74,0)</x:f>
        <x:v>273000</x:v>
      </x:c>
      <x:c r="L74" s="12" t="n">
        <x:f>IFERROR(H74/I74,0)</x:f>
        <x:v>0.2857142857142857</x:v>
      </x:c>
      <x:c r="M74" s="12" t="n">
        <x:f>IFERROR(26*J74,0)</x:f>
        <x:v>26</x:v>
      </x:c>
      <x:c r="N74" s="14" t="n">
        <x:f>IFERROR(L74/M74,0)</x:f>
        <x:v>0.010989010989010988</x:v>
      </x:c>
      <x:c r="O74" s="14" t="n">
        <x:v>0.7</x:v>
      </x:c>
      <x:c r="P74" s="9" t="n">
        <x:v>1</x:v>
      </x:c>
      <x:c r="Q74" s="9"/>
      <x:c r="R74" s="10" t="str">
        <x:f>IF(N74&gt;1,"Over capacity",IF(N74&gt;=0.85,"High load",IF(N74&gt;=0.5,"Normal","Low load")))</x:f>
        <x:v>Low load</x:v>
      </x:c>
    </x:row>
    <x:row r="75">
      <x:c r="A75" s="8" t="str">
        <x:v>300T 产能分析 7#</x:v>
      </x:c>
      <x:c r="B75" s="9" t="str">
        <x:v>300T</x:v>
      </x:c>
      <x:c r="C75" s="9" t="str">
        <x:v>泰国东海</x:v>
      </x:c>
      <x:c r="D75" s="9" t="str">
        <x:v>已量产</x:v>
      </x:c>
      <x:c r="E75" s="9" t="str">
        <x:v>UPPER RING</x:v>
      </x:c>
      <x:c r="F75" s="9" t="str">
        <x:v>SB-068A-1-3</x:v>
      </x:c>
      <x:c r="G75" s="9"/>
      <x:c r="H75" s="12" t="n">
        <x:v>3000</x:v>
      </x:c>
      <x:c r="I75" s="12" t="n">
        <x:v>10500</x:v>
      </x:c>
      <x:c r="J75" s="12" t="n">
        <x:v>1</x:v>
      </x:c>
      <x:c r="K75" s="12" t="n">
        <x:f>IFERROR(I75*26*J75,0)</x:f>
        <x:v>273000</x:v>
      </x:c>
      <x:c r="L75" s="12" t="n">
        <x:f>IFERROR(H75/I75,0)</x:f>
        <x:v>0.2857142857142857</x:v>
      </x:c>
      <x:c r="M75" s="12" t="n">
        <x:f>IFERROR(26*J75,0)</x:f>
        <x:v>26</x:v>
      </x:c>
      <x:c r="N75" s="14" t="n">
        <x:f>IFERROR(L75/M75,0)</x:f>
        <x:v>0.010989010989010988</x:v>
      </x:c>
      <x:c r="O75" s="14" t="n">
        <x:v>0.7</x:v>
      </x:c>
      <x:c r="P75" s="9" t="n">
        <x:v>1</x:v>
      </x:c>
      <x:c r="Q75" s="9"/>
      <x:c r="R75" s="10" t="str">
        <x:f>IF(N75&gt;1,"Over capacity",IF(N75&gt;=0.85,"High load",IF(N75&gt;=0.5,"Normal","Low load")))</x:f>
        <x:v>Low load</x:v>
      </x:c>
    </x:row>
    <x:row r="76">
      <x:c r="A76" s="8" t="str">
        <x:v>300T 产能分析 7#</x:v>
      </x:c>
      <x:c r="B76" s="9" t="str">
        <x:v>300T</x:v>
      </x:c>
      <x:c r="C76" s="9" t="str">
        <x:v>泰国东海</x:v>
      </x:c>
      <x:c r="D76" s="9" t="str">
        <x:v>已量产</x:v>
      </x:c>
      <x:c r="E76" s="9" t="str">
        <x:v>STOPPER RING</x:v>
      </x:c>
      <x:c r="F76" s="9" t="str">
        <x:v>SB-092B-1-3</x:v>
      </x:c>
      <x:c r="G76" s="9"/>
      <x:c r="H76" s="12" t="n">
        <x:v>3000</x:v>
      </x:c>
      <x:c r="I76" s="12" t="n">
        <x:v>10500</x:v>
      </x:c>
      <x:c r="J76" s="12" t="n">
        <x:v>1</x:v>
      </x:c>
      <x:c r="K76" s="12" t="n">
        <x:f>IFERROR(I76*26*J76,0)</x:f>
        <x:v>273000</x:v>
      </x:c>
      <x:c r="L76" s="12" t="n">
        <x:f>IFERROR(H76/I76,0)</x:f>
        <x:v>0.2857142857142857</x:v>
      </x:c>
      <x:c r="M76" s="12" t="n">
        <x:f>IFERROR(26*J76,0)</x:f>
        <x:v>26</x:v>
      </x:c>
      <x:c r="N76" s="14" t="n">
        <x:f>IFERROR(L76/M76,0)</x:f>
        <x:v>0.010989010989010988</x:v>
      </x:c>
      <x:c r="O76" s="14" t="n">
        <x:v>0.7</x:v>
      </x:c>
      <x:c r="P76" s="9" t="n">
        <x:v>1</x:v>
      </x:c>
      <x:c r="Q76" s="9"/>
      <x:c r="R76" s="10" t="str">
        <x:f>IF(N76&gt;1,"Over capacity",IF(N76&gt;=0.85,"High load",IF(N76&gt;=0.5,"Normal","Low load")))</x:f>
        <x:v>Low load</x:v>
      </x:c>
    </x:row>
    <x:row r="77">
      <x:c r="A77" s="8" t="str">
        <x:v>300T 产能分析 7#</x:v>
      </x:c>
      <x:c r="B77" s="9" t="str">
        <x:v>300T</x:v>
      </x:c>
      <x:c r="C77" s="9" t="str">
        <x:v>泰国东海</x:v>
      </x:c>
      <x:c r="D77" s="9" t="str">
        <x:v>已量产</x:v>
      </x:c>
      <x:c r="E77" s="9" t="str">
        <x:v>OUTER</x:v>
      </x:c>
      <x:c r="F77" s="9" t="str">
        <x:v>SB-087A-1</x:v>
      </x:c>
      <x:c r="G77" s="9"/>
      <x:c r="H77" s="12" t="n">
        <x:v>5000</x:v>
      </x:c>
      <x:c r="I77" s="12" t="n">
        <x:v>10500</x:v>
      </x:c>
      <x:c r="J77" s="12" t="n">
        <x:v>1</x:v>
      </x:c>
      <x:c r="K77" s="12" t="n">
        <x:f>IFERROR(I77*26*J77,0)</x:f>
        <x:v>273000</x:v>
      </x:c>
      <x:c r="L77" s="12" t="n">
        <x:f>IFERROR(H77/I77,0)</x:f>
        <x:v>0.47619047619047616</x:v>
      </x:c>
      <x:c r="M77" s="12" t="n">
        <x:f>IFERROR(26*J77,0)</x:f>
        <x:v>26</x:v>
      </x:c>
      <x:c r="N77" s="14" t="n">
        <x:f>IFERROR(L77/M77,0)</x:f>
        <x:v>0.018315018315018312</x:v>
      </x:c>
      <x:c r="O77" s="14" t="n">
        <x:v>0.7</x:v>
      </x:c>
      <x:c r="P77" s="9" t="n">
        <x:v>1</x:v>
      </x:c>
      <x:c r="Q77" s="9"/>
      <x:c r="R77" s="10" t="str">
        <x:f>IF(N77&gt;1,"Over capacity",IF(N77&gt;=0.85,"High load",IF(N77&gt;=0.5,"Normal","Low load")))</x:f>
        <x:v>Low load</x:v>
      </x:c>
    </x:row>
    <x:row r="78">
      <x:c r="A78" s="8" t="str">
        <x:v>300T 产能分析 7#</x:v>
      </x:c>
      <x:c r="B78" s="9" t="str">
        <x:v>300T</x:v>
      </x:c>
      <x:c r="C78" s="9" t="str">
        <x:v>泰国东海</x:v>
      </x:c>
      <x:c r="D78" s="9" t="str">
        <x:v>已量产</x:v>
      </x:c>
      <x:c r="E78" s="9" t="str">
        <x:v>ACTUATOR CUP</x:v>
      </x:c>
      <x:c r="F78" s="9" t="str">
        <x:v>TM-867A-1</x:v>
      </x:c>
      <x:c r="G78" s="9"/>
      <x:c r="H78" s="12" t="n">
        <x:v>50000</x:v>
      </x:c>
      <x:c r="I78" s="12" t="n">
        <x:v>21000</x:v>
      </x:c>
      <x:c r="J78" s="12" t="n">
        <x:v>1</x:v>
      </x:c>
      <x:c r="K78" s="12" t="n">
        <x:f>IFERROR(I78*26*J78,0)</x:f>
        <x:v>546000</x:v>
      </x:c>
      <x:c r="L78" s="12" t="n">
        <x:f>IFERROR(H78/I78,0)</x:f>
        <x:v>2.380952380952381</x:v>
      </x:c>
      <x:c r="M78" s="12" t="n">
        <x:f>IFERROR(26*J78,0)</x:f>
        <x:v>26</x:v>
      </x:c>
      <x:c r="N78" s="14" t="n">
        <x:f>IFERROR(L78/M78,0)</x:f>
        <x:v>0.09157509157509157</x:v>
      </x:c>
      <x:c r="O78" s="14" t="n">
        <x:v>0.7</x:v>
      </x:c>
      <x:c r="P78" s="9" t="n">
        <x:v>2</x:v>
      </x:c>
      <x:c r="Q78" s="9"/>
      <x:c r="R78" s="10" t="str">
        <x:f>IF(N78&gt;1,"Over capacity",IF(N78&gt;=0.85,"High load",IF(N78&gt;=0.5,"Normal","Low load")))</x:f>
        <x:v>Low load</x:v>
      </x:c>
    </x:row>
    <x:row r="79">
      <x:c r="A79" s="8" t="str">
        <x:v>300T 产能分析 7#</x:v>
      </x:c>
      <x:c r="B79" s="9" t="str">
        <x:v>300T</x:v>
      </x:c>
      <x:c r="C79" s="9" t="str">
        <x:v>美国东海</x:v>
      </x:c>
      <x:c r="D79" s="9" t="str">
        <x:v>已量产</x:v>
      </x:c>
      <x:c r="E79" s="9" t="str">
        <x:v>PLATE</x:v>
      </x:c>
      <x:c r="F79" s="9" t="str">
        <x:v>11669A2</x:v>
      </x:c>
      <x:c r="G79" s="9"/>
      <x:c r="H79" s="12" t="n">
        <x:v>40000</x:v>
      </x:c>
      <x:c r="I79" s="12" t="n">
        <x:v>21000</x:v>
      </x:c>
      <x:c r="J79" s="12" t="n">
        <x:v>1</x:v>
      </x:c>
      <x:c r="K79" s="12" t="n">
        <x:f>IFERROR(I79*26*J79,0)</x:f>
        <x:v>546000</x:v>
      </x:c>
      <x:c r="L79" s="12" t="n">
        <x:f>IFERROR(H79/I79,0)</x:f>
        <x:v>1.9047619047619047</x:v>
      </x:c>
      <x:c r="M79" s="12" t="n">
        <x:f>IFERROR(26*J79,0)</x:f>
        <x:v>26</x:v>
      </x:c>
      <x:c r="N79" s="14" t="n">
        <x:f>IFERROR(L79/M79,0)</x:f>
        <x:v>0.07326007326007325</x:v>
      </x:c>
      <x:c r="O79" s="14" t="n">
        <x:v>0.7</x:v>
      </x:c>
      <x:c r="P79" s="9" t="n">
        <x:v>2</x:v>
      </x:c>
      <x:c r="Q79" s="9"/>
      <x:c r="R79" s="10" t="str">
        <x:f>IF(N79&gt;1,"Over capacity",IF(N79&gt;=0.85,"High load",IF(N79&gt;=0.5,"Normal","Low load")))</x:f>
        <x:v>Low load</x:v>
      </x:c>
    </x:row>
    <x:row r="80">
      <x:c r="A80" s="8" t="str">
        <x:v>300T 产能分析 7#</x:v>
      </x:c>
      <x:c r="B80" s="9" t="str">
        <x:v>300T</x:v>
      </x:c>
      <x:c r="C80" s="9" t="str">
        <x:v>泰国均胜</x:v>
      </x:c>
      <x:c r="D80" s="9" t="str">
        <x:v>26年 6月</x:v>
      </x:c>
      <x:c r="E80" s="9" t="str">
        <x:v>DIFFUSER</x:v>
      </x:c>
      <x:c r="F80" s="9" t="str">
        <x:v>1185583-0</x:v>
      </x:c>
      <x:c r="G80" s="9"/>
      <x:c r="H80" s="12" t="n">
        <x:v>4853</x:v>
      </x:c>
      <x:c r="I80" s="12" t="n">
        <x:v>10500</x:v>
      </x:c>
      <x:c r="J80" s="12" t="n">
        <x:v>1</x:v>
      </x:c>
      <x:c r="K80" s="12" t="n">
        <x:f>IFERROR(I80*26*J80,0)</x:f>
        <x:v>273000</x:v>
      </x:c>
      <x:c r="L80" s="12" t="n">
        <x:f>IFERROR(H80/I80,0)</x:f>
        <x:v>0.4621904761904762</x:v>
      </x:c>
      <x:c r="M80" s="12" t="n">
        <x:f>IFERROR(26*J80,0)</x:f>
        <x:v>26</x:v>
      </x:c>
      <x:c r="N80" s="14" t="n">
        <x:f>IFERROR(L80/M80,0)</x:f>
        <x:v>0.017776556776556776</x:v>
      </x:c>
      <x:c r="O80" s="14" t="n">
        <x:v>0.7</x:v>
      </x:c>
      <x:c r="P80" s="9" t="n">
        <x:v>1</x:v>
      </x:c>
      <x:c r="Q80" s="9"/>
      <x:c r="R80" s="10" t="str">
        <x:f>IF(N80&gt;1,"Over capacity",IF(N80&gt;=0.85,"High load",IF(N80&gt;=0.5,"Normal","Low load")))</x:f>
        <x:v>Low load</x:v>
      </x:c>
    </x:row>
    <x:row r="81">
      <x:c r="A81" s="8" t="str">
        <x:v>300T 产能分析 7#</x:v>
      </x:c>
      <x:c r="B81" s="9" t="str">
        <x:v>300T</x:v>
      </x:c>
      <x:c r="C81" s="9" t="str">
        <x:v>泰国均胜</x:v>
      </x:c>
      <x:c r="D81" s="9" t="str">
        <x:v>26年 6月</x:v>
      </x:c>
      <x:c r="E81" s="9" t="str">
        <x:v>AH BUCKLE</x:v>
      </x:c>
      <x:c r="F81" s="9" t="str">
        <x:v>1186603-AA0</x:v>
      </x:c>
      <x:c r="G81" s="9"/>
      <x:c r="H81" s="12" t="n">
        <x:v>10666</x:v>
      </x:c>
      <x:c r="I81" s="12" t="n">
        <x:v>10500</x:v>
      </x:c>
      <x:c r="J81" s="12" t="n">
        <x:v>1</x:v>
      </x:c>
      <x:c r="K81" s="12" t="n">
        <x:f>IFERROR(I81*26*J81,0)</x:f>
        <x:v>273000</x:v>
      </x:c>
      <x:c r="L81" s="12" t="n">
        <x:f>IFERROR(H81/I81,0)</x:f>
        <x:v>1.0158095238095237</x:v>
      </x:c>
      <x:c r="M81" s="12" t="n">
        <x:f>IFERROR(26*J81,0)</x:f>
        <x:v>26</x:v>
      </x:c>
      <x:c r="N81" s="14" t="n">
        <x:f>IFERROR(L81/M81,0)</x:f>
        <x:v>0.03906959706959707</x:v>
      </x:c>
      <x:c r="O81" s="14" t="n">
        <x:v>0.7</x:v>
      </x:c>
      <x:c r="P81" s="9" t="n">
        <x:v>1</x:v>
      </x:c>
      <x:c r="Q81" s="9"/>
      <x:c r="R81" s="10" t="str">
        <x:f>IF(N81&gt;1,"Over capacity",IF(N81&gt;=0.85,"High load",IF(N81&gt;=0.5,"Normal","Low load")))</x:f>
        <x:v>Low load</x:v>
      </x:c>
    </x:row>
    <x:row r="82">
      <x:c r="A82" s="8" t="str">
        <x:v>300T 产能分析 7#</x:v>
      </x:c>
      <x:c r="B82" s="9" t="str">
        <x:v>300T</x:v>
      </x:c>
      <x:c r="C82" s="9" t="str">
        <x:v>泰国均胜</x:v>
      </x:c>
      <x:c r="D82" s="9" t="str">
        <x:v>26年 6月</x:v>
      </x:c>
      <x:c r="E82" s="9" t="str">
        <x:v>CG BRACKET</x:v>
      </x:c>
      <x:c r="F82" s="9" t="str">
        <x:v>2567476-AA</x:v>
      </x:c>
      <x:c r="G82" s="9"/>
      <x:c r="H82" s="12" t="n">
        <x:v>13461</x:v>
      </x:c>
      <x:c r="I82" s="12" t="n">
        <x:v>10500</x:v>
      </x:c>
      <x:c r="J82" s="12" t="n">
        <x:v>1</x:v>
      </x:c>
      <x:c r="K82" s="12" t="n">
        <x:f>IFERROR(I82*26*J82,0)</x:f>
        <x:v>273000</x:v>
      </x:c>
      <x:c r="L82" s="12" t="n">
        <x:f>IFERROR(H82/I82,0)</x:f>
        <x:v>1.282</x:v>
      </x:c>
      <x:c r="M82" s="12" t="n">
        <x:f>IFERROR(26*J82,0)</x:f>
        <x:v>26</x:v>
      </x:c>
      <x:c r="N82" s="14" t="n">
        <x:f>IFERROR(L82/M82,0)</x:f>
        <x:v>0.04930769230769231</x:v>
      </x:c>
      <x:c r="O82" s="14" t="n">
        <x:v>0.7</x:v>
      </x:c>
      <x:c r="P82" s="9" t="n">
        <x:v>1</x:v>
      </x:c>
      <x:c r="Q82" s="9"/>
      <x:c r="R82" s="10" t="str">
        <x:f>IF(N82&gt;1,"Over capacity",IF(N82&gt;=0.85,"High load",IF(N82&gt;=0.5,"Normal","Low load")))</x:f>
        <x:v>Low load</x:v>
      </x:c>
    </x:row>
    <x:row r="83">
      <x:c r="A83" s="8" t="str">
        <x:v>300T 产能分析 7#</x:v>
      </x:c>
      <x:c r="B83" s="9" t="str">
        <x:v>300T</x:v>
      </x:c>
      <x:c r="C83" s="9" t="str">
        <x:v>泰国均胜</x:v>
      </x:c>
      <x:c r="D83" s="9" t="str">
        <x:v>26年 6月</x:v>
      </x:c>
      <x:c r="E83" s="9" t="str">
        <x:v>DIFFUSER</x:v>
      </x:c>
      <x:c r="F83" s="9" t="str">
        <x:v>1185583-AA</x:v>
      </x:c>
      <x:c r="G83" s="9"/>
      <x:c r="H83" s="12" t="n">
        <x:v>4800</x:v>
      </x:c>
      <x:c r="I83" s="12" t="n">
        <x:v>21000</x:v>
      </x:c>
      <x:c r="J83" s="12" t="n">
        <x:v>1</x:v>
      </x:c>
      <x:c r="K83" s="12" t="n">
        <x:f>IFERROR(I83*26*J83,0)</x:f>
        <x:v>546000</x:v>
      </x:c>
      <x:c r="L83" s="12" t="n">
        <x:f>IFERROR(H83/I83,0)</x:f>
        <x:v>0.22857142857142856</x:v>
      </x:c>
      <x:c r="M83" s="12" t="n">
        <x:f>IFERROR(26*J83,0)</x:f>
        <x:v>26</x:v>
      </x:c>
      <x:c r="N83" s="14" t="n">
        <x:f>IFERROR(L83/M83,0)</x:f>
        <x:v>0.008791208791208791</x:v>
      </x:c>
      <x:c r="O83" s="14" t="n">
        <x:v>0.7</x:v>
      </x:c>
      <x:c r="P83" s="9" t="n">
        <x:v>2</x:v>
      </x:c>
      <x:c r="Q83" s="9"/>
      <x:c r="R83" s="10" t="str">
        <x:f>IF(N83&gt;1,"Over capacity",IF(N83&gt;=0.85,"High load",IF(N83&gt;=0.5,"Normal","Low load")))</x:f>
        <x:v>Low load</x:v>
      </x:c>
    </x:row>
    <x:row r="84">
      <x:c r="A84" s="8" t="str">
        <x:v>300T 产能分析 7#</x:v>
      </x:c>
      <x:c r="B84" s="9" t="str">
        <x:v>300T</x:v>
      </x:c>
      <x:c r="C84" s="9" t="str">
        <x:v>泰国均胜</x:v>
      </x:c>
      <x:c r="D84" s="9" t="str">
        <x:v>26年 6月</x:v>
      </x:c>
      <x:c r="E84" s="9" t="str">
        <x:v>AH BUCKLE BRACKET</x:v>
      </x:c>
      <x:c r="F84" s="9" t="str">
        <x:v>1186603-AA</x:v>
      </x:c>
      <x:c r="G84" s="9"/>
      <x:c r="H84" s="12" t="n">
        <x:v>11000</x:v>
      </x:c>
      <x:c r="I84" s="12" t="n">
        <x:v>21000</x:v>
      </x:c>
      <x:c r="J84" s="12" t="n">
        <x:v>1</x:v>
      </x:c>
      <x:c r="K84" s="12" t="n">
        <x:f>IFERROR(I84*26*J84,0)</x:f>
        <x:v>546000</x:v>
      </x:c>
      <x:c r="L84" s="12" t="n">
        <x:f>IFERROR(H84/I84,0)</x:f>
        <x:v>0.5238095238095238</x:v>
      </x:c>
      <x:c r="M84" s="12" t="n">
        <x:f>IFERROR(26*J84,0)</x:f>
        <x:v>26</x:v>
      </x:c>
      <x:c r="N84" s="14" t="n">
        <x:f>IFERROR(L84/M84,0)</x:f>
        <x:v>0.020146520146520148</x:v>
      </x:c>
      <x:c r="O84" s="14" t="n">
        <x:v>0.7</x:v>
      </x:c>
      <x:c r="P84" s="9" t="n">
        <x:v>2</x:v>
      </x:c>
      <x:c r="Q84" s="9"/>
      <x:c r="R84" s="10" t="str">
        <x:f>IF(N84&gt;1,"Over capacity",IF(N84&gt;=0.85,"High load",IF(N84&gt;=0.5,"Normal","Low load")))</x:f>
        <x:v>Low load</x:v>
      </x:c>
    </x:row>
    <x:row r="85">
      <x:c r="A85" s="8" t="str">
        <x:v>300T 产能分析 7#</x:v>
      </x:c>
      <x:c r="B85" s="9" t="str">
        <x:v>300T</x:v>
      </x:c>
      <x:c r="C85" s="9" t="str">
        <x:v>泰国均胜</x:v>
      </x:c>
      <x:c r="D85" s="9" t="str">
        <x:v>已量产</x:v>
      </x:c>
      <x:c r="E85" s="9" t="str">
        <x:v>INFLATOR BRACKET  RH</x:v>
      </x:c>
      <x:c r="F85" s="9" t="str">
        <x:v>5036909-AA</x:v>
      </x:c>
      <x:c r="G85" s="9"/>
      <x:c r="H85" s="12" t="n">
        <x:v>950</x:v>
      </x:c>
      <x:c r="I85" s="12" t="n">
        <x:v>21000</x:v>
      </x:c>
      <x:c r="J85" s="12" t="n">
        <x:v>1</x:v>
      </x:c>
      <x:c r="K85" s="12" t="n">
        <x:f>IFERROR(I85*26*J85,0)</x:f>
        <x:v>546000</x:v>
      </x:c>
      <x:c r="L85" s="12" t="n">
        <x:f>IFERROR(H85/I85,0)</x:f>
        <x:v>0.04523809523809524</x:v>
      </x:c>
      <x:c r="M85" s="12" t="n">
        <x:f>IFERROR(26*J85,0)</x:f>
        <x:v>26</x:v>
      </x:c>
      <x:c r="N85" s="14" t="n">
        <x:f>IFERROR(L85/M85,0)</x:f>
        <x:v>0.0017399267399267398</x:v>
      </x:c>
      <x:c r="O85" s="14" t="n">
        <x:v>0.7</x:v>
      </x:c>
      <x:c r="P85" s="9" t="n">
        <x:v>2</x:v>
      </x:c>
      <x:c r="Q85" s="9"/>
      <x:c r="R85" s="10" t="str">
        <x:f>IF(N85&gt;1,"Over capacity",IF(N85&gt;=0.85,"High load",IF(N85&gt;=0.5,"Normal","Low load")))</x:f>
        <x:v>Low load</x:v>
      </x:c>
    </x:row>
    <x:row r="86">
      <x:c r="A86" s="8" t="str">
        <x:v>300T 产能分析 7#</x:v>
      </x:c>
      <x:c r="B86" s="9" t="str">
        <x:v>300T</x:v>
      </x:c>
      <x:c r="C86" s="9" t="str">
        <x:v>泰国均胜</x:v>
      </x:c>
      <x:c r="D86" s="9" t="str">
        <x:v>已量产</x:v>
      </x:c>
      <x:c r="E86" s="9" t="str">
        <x:v>RETAINER RING ASSEMBLY</x:v>
      </x:c>
      <x:c r="F86" s="9" t="str">
        <x:v>5036755-AA</x:v>
      </x:c>
      <x:c r="G86" s="9"/>
      <x:c r="H86" s="12" t="n">
        <x:v>5000</x:v>
      </x:c>
      <x:c r="I86" s="12" t="n">
        <x:v>10500</x:v>
      </x:c>
      <x:c r="J86" s="12" t="n">
        <x:v>1</x:v>
      </x:c>
      <x:c r="K86" s="12" t="n">
        <x:f>IFERROR(I86*26*J86,0)</x:f>
        <x:v>273000</x:v>
      </x:c>
      <x:c r="L86" s="12" t="n">
        <x:f>IFERROR(H86/I86,0)</x:f>
        <x:v>0.47619047619047616</x:v>
      </x:c>
      <x:c r="M86" s="12" t="n">
        <x:f>IFERROR(26*J86,0)</x:f>
        <x:v>26</x:v>
      </x:c>
      <x:c r="N86" s="14" t="n">
        <x:f>IFERROR(L86/M86,0)</x:f>
        <x:v>0.018315018315018312</x:v>
      </x:c>
      <x:c r="O86" s="14" t="n">
        <x:v>0.7</x:v>
      </x:c>
      <x:c r="P86" s="9" t="n">
        <x:v>1</x:v>
      </x:c>
      <x:c r="Q86" s="9"/>
      <x:c r="R86" s="10" t="str">
        <x:f>IF(N86&gt;1,"Over capacity",IF(N86&gt;=0.85,"High load",IF(N86&gt;=0.5,"Normal","Low load")))</x:f>
        <x:v>Low load</x:v>
      </x:c>
    </x:row>
    <x:row r="87">
      <x:c r="A87" s="8" t="str">
        <x:v>300T 产能分析 7#</x:v>
      </x:c>
      <x:c r="B87" s="9" t="str">
        <x:v>300T</x:v>
      </x:c>
      <x:c r="C87" s="9" t="str">
        <x:v>泰国均胜</x:v>
      </x:c>
      <x:c r="D87" s="9" t="str">
        <x:v>26年 11月</x:v>
      </x:c>
      <x:c r="E87" s="9" t="str">
        <x:v>CJ BASE UNIT RH</x:v>
      </x:c>
      <x:c r="F87" s="9" t="str">
        <x:v>1188861-AA</x:v>
      </x:c>
      <x:c r="G87" s="9" t="str">
        <x:v>TIR BAR</x:v>
      </x:c>
      <x:c r="H87" s="12" t="n">
        <x:v>24160</x:v>
      </x:c>
      <x:c r="I87" s="12" t="n">
        <x:v>10500</x:v>
      </x:c>
      <x:c r="J87" s="12" t="n">
        <x:v>1</x:v>
      </x:c>
      <x:c r="K87" s="12" t="n">
        <x:f>IFERROR(I87*26*J87,0)</x:f>
        <x:v>273000</x:v>
      </x:c>
      <x:c r="L87" s="12" t="n">
        <x:f>IFERROR(H87/I87,0)</x:f>
        <x:v>2.300952380952381</x:v>
      </x:c>
      <x:c r="M87" s="12" t="n">
        <x:f>IFERROR(26*J87,0)</x:f>
        <x:v>26</x:v>
      </x:c>
      <x:c r="N87" s="14" t="n">
        <x:f>IFERROR(L87/M87,0)</x:f>
        <x:v>0.0884981684981685</x:v>
      </x:c>
      <x:c r="O87" s="14" t="n">
        <x:v>0.7</x:v>
      </x:c>
      <x:c r="P87" s="9" t="n">
        <x:v>1</x:v>
      </x:c>
      <x:c r="Q87" s="9"/>
      <x:c r="R87" s="10" t="str">
        <x:f>IF(N87&gt;1,"Over capacity",IF(N87&gt;=0.85,"High load",IF(N87&gt;=0.5,"Normal","Low load")))</x:f>
        <x:v>Low load</x:v>
      </x:c>
    </x:row>
    <x:row r="88">
      <x:c r="A88" s="8" t="str">
        <x:v>300T 产能分析 7#</x:v>
      </x:c>
      <x:c r="B88" s="9" t="str">
        <x:v>300T</x:v>
      </x:c>
      <x:c r="C88" s="9" t="str">
        <x:v>泰国均胜</x:v>
      </x:c>
      <x:c r="D88" s="9" t="str">
        <x:v>26年 11月</x:v>
      </x:c>
      <x:c r="E88" s="9" t="str">
        <x:v>CJ BASE UNITLH</x:v>
      </x:c>
      <x:c r="F88" s="9" t="str">
        <x:v>1188862-AA</x:v>
      </x:c>
      <x:c r="G88" s="9" t="str">
        <x:v>TIR BAR</x:v>
      </x:c>
      <x:c r="H88" s="12" t="n">
        <x:v>24160</x:v>
      </x:c>
      <x:c r="I88" s="12" t="n">
        <x:v>10500</x:v>
      </x:c>
      <x:c r="J88" s="12" t="n">
        <x:v>1</x:v>
      </x:c>
      <x:c r="K88" s="12" t="n">
        <x:f>IFERROR(I88*26*J88,0)</x:f>
        <x:v>273000</x:v>
      </x:c>
      <x:c r="L88" s="12" t="n">
        <x:f>IFERROR(H88/I88,0)</x:f>
        <x:v>2.300952380952381</x:v>
      </x:c>
      <x:c r="M88" s="12" t="n">
        <x:f>IFERROR(26*J88,0)</x:f>
        <x:v>26</x:v>
      </x:c>
      <x:c r="N88" s="14" t="n">
        <x:f>IFERROR(L88/M88,0)</x:f>
        <x:v>0.0884981684981685</x:v>
      </x:c>
      <x:c r="O88" s="14" t="n">
        <x:v>0.7</x:v>
      </x:c>
      <x:c r="P88" s="9" t="n">
        <x:v>1</x:v>
      </x:c>
      <x:c r="Q88" s="9"/>
      <x:c r="R88" s="10" t="str">
        <x:f>IF(N88&gt;1,"Over capacity",IF(N88&gt;=0.85,"High load",IF(N88&gt;=0.5,"Normal","Low load")))</x:f>
        <x:v>Low load</x:v>
      </x:c>
    </x:row>
    <x:row r="89">
      <x:c r="A89" s="8" t="str">
        <x:v>300T 产能分析 7#</x:v>
      </x:c>
      <x:c r="B89" s="9" t="str">
        <x:v>300T</x:v>
      </x:c>
      <x:c r="C89" s="9" t="str">
        <x:v>泰国均胜</x:v>
      </x:c>
      <x:c r="D89" s="9" t="str">
        <x:v>26年 11月</x:v>
      </x:c>
      <x:c r="E89" s="9" t="str">
        <x:v>CJ BASE UNIT RH</x:v>
      </x:c>
      <x:c r="F89" s="9" t="str">
        <x:v>1188861-AA</x:v>
      </x:c>
      <x:c r="G89" s="9" t="str">
        <x:v>STAY UPPER</x:v>
      </x:c>
      <x:c r="H89" s="12" t="n">
        <x:v>24160</x:v>
      </x:c>
      <x:c r="I89" s="12" t="n">
        <x:v>10500</x:v>
      </x:c>
      <x:c r="J89" s="12" t="n">
        <x:v>1</x:v>
      </x:c>
      <x:c r="K89" s="12" t="n">
        <x:f>IFERROR(I89*26*J89,0)</x:f>
        <x:v>273000</x:v>
      </x:c>
      <x:c r="L89" s="12" t="n">
        <x:f>IFERROR(H89/I89,0)</x:f>
        <x:v>2.300952380952381</x:v>
      </x:c>
      <x:c r="M89" s="12" t="n">
        <x:f>IFERROR(26*J89,0)</x:f>
        <x:v>26</x:v>
      </x:c>
      <x:c r="N89" s="14" t="n">
        <x:f>IFERROR(L89/M89,0)</x:f>
        <x:v>0.0884981684981685</x:v>
      </x:c>
      <x:c r="O89" s="14" t="n">
        <x:v>0.7</x:v>
      </x:c>
      <x:c r="P89" s="9" t="n">
        <x:v>1</x:v>
      </x:c>
      <x:c r="Q89" s="9"/>
      <x:c r="R89" s="10" t="str">
        <x:f>IF(N89&gt;1,"Over capacity",IF(N89&gt;=0.85,"High load",IF(N89&gt;=0.5,"Normal","Low load")))</x:f>
        <x:v>Low load</x:v>
      </x:c>
    </x:row>
    <x:row r="90">
      <x:c r="A90" s="8" t="str">
        <x:v>300T 产能分析 7#</x:v>
      </x:c>
      <x:c r="B90" s="9" t="str">
        <x:v>300T</x:v>
      </x:c>
      <x:c r="C90" s="9" t="str">
        <x:v>泰国均胜</x:v>
      </x:c>
      <x:c r="D90" s="9" t="str">
        <x:v>26年 11月</x:v>
      </x:c>
      <x:c r="E90" s="9" t="str">
        <x:v>CJ BASE UNITLH</x:v>
      </x:c>
      <x:c r="F90" s="9" t="str">
        <x:v>1188862-AA</x:v>
      </x:c>
      <x:c r="G90" s="9" t="str">
        <x:v>STAY UPPER</x:v>
      </x:c>
      <x:c r="H90" s="12" t="n">
        <x:v>24160</x:v>
      </x:c>
      <x:c r="I90" s="12" t="n">
        <x:v>10500</x:v>
      </x:c>
      <x:c r="J90" s="12" t="n">
        <x:v>1</x:v>
      </x:c>
      <x:c r="K90" s="12" t="n">
        <x:f>IFERROR(I90*26*J90,0)</x:f>
        <x:v>273000</x:v>
      </x:c>
      <x:c r="L90" s="12" t="n">
        <x:f>IFERROR(H90/I90,0)</x:f>
        <x:v>2.300952380952381</x:v>
      </x:c>
      <x:c r="M90" s="12" t="n">
        <x:f>IFERROR(26*J90,0)</x:f>
        <x:v>26</x:v>
      </x:c>
      <x:c r="N90" s="14" t="n">
        <x:f>IFERROR(L90/M90,0)</x:f>
        <x:v>0.0884981684981685</x:v>
      </x:c>
      <x:c r="O90" s="14" t="n">
        <x:v>0.7</x:v>
      </x:c>
      <x:c r="P90" s="9" t="n">
        <x:v>1</x:v>
      </x:c>
      <x:c r="Q90" s="9"/>
      <x:c r="R90" s="10" t="str">
        <x:f>IF(N90&gt;1,"Over capacity",IF(N90&gt;=0.85,"High load",IF(N90&gt;=0.5,"Normal","Low load")))</x:f>
        <x:v>Low load</x:v>
      </x:c>
    </x:row>
    <x:row r="91">
      <x:c r="A91" s="8" t="str">
        <x:v>300T 产能分析 7#</x:v>
      </x:c>
      <x:c r="B91" s="9" t="str">
        <x:v>300T</x:v>
      </x:c>
      <x:c r="C91" s="9" t="str">
        <x:v>泰国均胜</x:v>
      </x:c>
      <x:c r="D91" s="9" t="str">
        <x:v>26年 11月</x:v>
      </x:c>
      <x:c r="E91" s="9" t="str">
        <x:v>CJQST BASE UNIT FR, LH</x:v>
      </x:c>
      <x:c r="F91" s="9" t="str">
        <x:v>5038788-AA</x:v>
      </x:c>
      <x:c r="G91" s="9" t="str">
        <x:v>TIR BAR</x:v>
      </x:c>
      <x:c r="H91" s="12" t="n">
        <x:v>17607</x:v>
      </x:c>
      <x:c r="I91" s="12" t="n">
        <x:v>10500</x:v>
      </x:c>
      <x:c r="J91" s="12" t="n">
        <x:v>1</x:v>
      </x:c>
      <x:c r="K91" s="12" t="n">
        <x:f>IFERROR(I91*26*J91,0)</x:f>
        <x:v>273000</x:v>
      </x:c>
      <x:c r="L91" s="12" t="n">
        <x:f>IFERROR(H91/I91,0)</x:f>
        <x:v>1.6768571428571428</x:v>
      </x:c>
      <x:c r="M91" s="12" t="n">
        <x:f>IFERROR(26*J91,0)</x:f>
        <x:v>26</x:v>
      </x:c>
      <x:c r="N91" s="14" t="n">
        <x:f>IFERROR(L91/M91,0)</x:f>
        <x:v>0.0644945054945055</x:v>
      </x:c>
      <x:c r="O91" s="14" t="n">
        <x:v>0.7</x:v>
      </x:c>
      <x:c r="P91" s="9" t="n">
        <x:v>1</x:v>
      </x:c>
      <x:c r="Q91" s="9"/>
      <x:c r="R91" s="10" t="str">
        <x:f>IF(N91&gt;1,"Over capacity",IF(N91&gt;=0.85,"High load",IF(N91&gt;=0.5,"Normal","Low load")))</x:f>
        <x:v>Low load</x:v>
      </x:c>
    </x:row>
    <x:row r="92">
      <x:c r="A92" s="8" t="str">
        <x:v>300T 产能分析 7#</x:v>
      </x:c>
      <x:c r="B92" s="9" t="str">
        <x:v>300T</x:v>
      </x:c>
      <x:c r="C92" s="9" t="str">
        <x:v>泰国均胜</x:v>
      </x:c>
      <x:c r="D92" s="9" t="str">
        <x:v>26年 12月</x:v>
      </x:c>
      <x:c r="E92" s="9" t="str">
        <x:v>CJQST BASE UNIT FR, LH</x:v>
      </x:c>
      <x:c r="F92" s="9" t="str">
        <x:v>5038788-AA</x:v>
      </x:c>
      <x:c r="G92" s="9" t="str">
        <x:v>TIR BAR</x:v>
      </x:c>
      <x:c r="H92" s="12" t="n">
        <x:v>17607</x:v>
      </x:c>
      <x:c r="I92" s="12" t="n">
        <x:v>10500</x:v>
      </x:c>
      <x:c r="J92" s="12" t="n">
        <x:v>1</x:v>
      </x:c>
      <x:c r="K92" s="12" t="n">
        <x:f>IFERROR(I92*26*J92,0)</x:f>
        <x:v>273000</x:v>
      </x:c>
      <x:c r="L92" s="12" t="n">
        <x:f>IFERROR(H92/I92,0)</x:f>
        <x:v>1.6768571428571428</x:v>
      </x:c>
      <x:c r="M92" s="12" t="n">
        <x:f>IFERROR(26*J92,0)</x:f>
        <x:v>26</x:v>
      </x:c>
      <x:c r="N92" s="14" t="n">
        <x:f>IFERROR(L92/M92,0)</x:f>
        <x:v>0.0644945054945055</x:v>
      </x:c>
      <x:c r="O92" s="14" t="n">
        <x:v>0.7</x:v>
      </x:c>
      <x:c r="P92" s="9" t="n">
        <x:v>1</x:v>
      </x:c>
      <x:c r="Q92" s="9"/>
      <x:c r="R92" s="10" t="str">
        <x:f>IF(N92&gt;1,"Over capacity",IF(N92&gt;=0.85,"High load",IF(N92&gt;=0.5,"Normal","Low load")))</x:f>
        <x:v>Low load</x:v>
      </x:c>
    </x:row>
    <x:row r="93">
      <x:c r="A93" s="8" t="str">
        <x:v>300T 产能分析 7#</x:v>
      </x:c>
      <x:c r="B93" s="9" t="str">
        <x:v>300T</x:v>
      </x:c>
      <x:c r="C93" s="9" t="str">
        <x:v>墨西哥拓普</x:v>
      </x:c>
      <x:c r="D93" s="9" t="str">
        <x:v>26年 5月</x:v>
      </x:c>
      <x:c r="E93" s="9" t="str">
        <x:v>后悬下钣金总成</x:v>
      </x:c>
      <x:c r="F93" s="9" t="str">
        <x:v>10383086</x:v>
      </x:c>
      <x:c r="G93" s="9"/>
      <x:c r="H93" s="12" t="n">
        <x:v>2916</x:v>
      </x:c>
      <x:c r="I93" s="12" t="n">
        <x:v>10500</x:v>
      </x:c>
      <x:c r="J93" s="12" t="n">
        <x:v>1</x:v>
      </x:c>
      <x:c r="K93" s="12" t="n">
        <x:f>IFERROR(I93*26*J93,0)</x:f>
        <x:v>273000</x:v>
      </x:c>
      <x:c r="L93" s="12" t="n">
        <x:f>IFERROR(H93/I93,0)</x:f>
        <x:v>0.2777142857142857</x:v>
      </x:c>
      <x:c r="M93" s="12" t="n">
        <x:f>IFERROR(26*J93,0)</x:f>
        <x:v>26</x:v>
      </x:c>
      <x:c r="N93" s="14" t="n">
        <x:f>IFERROR(L93/M93,0)</x:f>
        <x:v>0.01068131868131868</x:v>
      </x:c>
      <x:c r="O93" s="14" t="n">
        <x:v>0.7</x:v>
      </x:c>
      <x:c r="P93" s="9" t="n">
        <x:v>1</x:v>
      </x:c>
      <x:c r="Q93" s="9"/>
      <x:c r="R93" s="10" t="str">
        <x:f>IF(N93&gt;1,"Over capacity",IF(N93&gt;=0.85,"High load",IF(N93&gt;=0.5,"Normal","Low load")))</x:f>
        <x:v>Low load</x:v>
      </x:c>
    </x:row>
    <x:row r="94">
      <x:c r="A94" s="8" t="str">
        <x:v>300T 产能分析 7#</x:v>
      </x:c>
      <x:c r="B94" s="9" t="str">
        <x:v>300T</x:v>
      </x:c>
      <x:c r="C94" s="9" t="str">
        <x:v>墨西哥拓普</x:v>
      </x:c>
      <x:c r="D94" s="9" t="str">
        <x:v>26年 5月</x:v>
      </x:c>
      <x:c r="E94" s="9" t="str">
        <x:v>左悬下钣金</x:v>
      </x:c>
      <x:c r="F94" s="9" t="str">
        <x:v>10383173</x:v>
      </x:c>
      <x:c r="G94" s="9"/>
      <x:c r="H94" s="12" t="n">
        <x:v>2916</x:v>
      </x:c>
      <x:c r="I94" s="12" t="n">
        <x:v>10500</x:v>
      </x:c>
      <x:c r="J94" s="12" t="n">
        <x:v>1</x:v>
      </x:c>
      <x:c r="K94" s="12" t="n">
        <x:f>IFERROR(I94*26*J94,0)</x:f>
        <x:v>273000</x:v>
      </x:c>
      <x:c r="L94" s="12" t="n">
        <x:f>IFERROR(H94/I94,0)</x:f>
        <x:v>0.2777142857142857</x:v>
      </x:c>
      <x:c r="M94" s="12" t="n">
        <x:f>IFERROR(26*J94,0)</x:f>
        <x:v>26</x:v>
      </x:c>
      <x:c r="N94" s="14" t="n">
        <x:f>IFERROR(L94/M94,0)</x:f>
        <x:v>0.01068131868131868</x:v>
      </x:c>
      <x:c r="O94" s="14" t="n">
        <x:v>0.7</x:v>
      </x:c>
      <x:c r="P94" s="9" t="n">
        <x:v>1</x:v>
      </x:c>
      <x:c r="Q94" s="9"/>
      <x:c r="R94" s="10" t="str">
        <x:f>IF(N94&gt;1,"Over capacity",IF(N94&gt;=0.85,"High load",IF(N94&gt;=0.5,"Normal","Low load")))</x:f>
        <x:v>Low load</x:v>
      </x:c>
    </x:row>
    <x:row r="95">
      <x:c r="A95" s="8" t="str">
        <x:v>300T 产能分析 7#</x:v>
      </x:c>
      <x:c r="B95" s="9" t="str">
        <x:v>300T</x:v>
      </x:c>
      <x:c r="C95" s="9" t="str">
        <x:v>墨西哥拓普</x:v>
      </x:c>
      <x:c r="D95" s="9" t="str">
        <x:v>26年 5月</x:v>
      </x:c>
      <x:c r="E95" s="9" t="str">
        <x:v>右悬下钣金</x:v>
      </x:c>
      <x:c r="F95" s="9" t="str">
        <x:v>10383180</x:v>
      </x:c>
      <x:c r="G95" s="9"/>
      <x:c r="H95" s="12" t="n">
        <x:v>2916</x:v>
      </x:c>
      <x:c r="I95" s="12" t="n">
        <x:v>10500</x:v>
      </x:c>
      <x:c r="J95" s="12" t="n">
        <x:v>1</x:v>
      </x:c>
      <x:c r="K95" s="12" t="n">
        <x:f>IFERROR(I95*26*J95,0)</x:f>
        <x:v>273000</x:v>
      </x:c>
      <x:c r="L95" s="12" t="n">
        <x:f>IFERROR(H95/I95,0)</x:f>
        <x:v>0.2777142857142857</x:v>
      </x:c>
      <x:c r="M95" s="12" t="n">
        <x:f>IFERROR(26*J95,0)</x:f>
        <x:v>26</x:v>
      </x:c>
      <x:c r="N95" s="14" t="n">
        <x:f>IFERROR(L95/M95,0)</x:f>
        <x:v>0.01068131868131868</x:v>
      </x:c>
      <x:c r="O95" s="14" t="n">
        <x:v>0.7</x:v>
      </x:c>
      <x:c r="P95" s="9" t="n">
        <x:v>1</x:v>
      </x:c>
      <x:c r="Q95" s="9"/>
      <x:c r="R95" s="10" t="str">
        <x:f>IF(N95&gt;1,"Over capacity",IF(N95&gt;=0.85,"High load",IF(N95&gt;=0.5,"Normal","Low load")))</x:f>
        <x:v>Low load</x:v>
      </x:c>
    </x:row>
    <x:row r="96">
      <x:c r="A96" s="8" t="str">
        <x:v>300T 产能分析 7#</x:v>
      </x:c>
      <x:c r="B96" s="9" t="str">
        <x:v>300T</x:v>
      </x:c>
      <x:c r="C96" s="9" t="str">
        <x:v>施耐德</x:v>
      </x:c>
      <x:c r="D96" s="9"/>
      <x:c r="E96" s="9" t="str">
        <x:v>CU COVER SIDE</x:v>
      </x:c>
      <x:c r="F96" s="9"/>
      <x:c r="G96" s="9"/>
      <x:c r="H96" s="12" t="n">
        <x:v>18000</x:v>
      </x:c>
      <x:c r="I96" s="12" t="n">
        <x:v>10500</x:v>
      </x:c>
      <x:c r="J96" s="12" t="n">
        <x:v>1</x:v>
      </x:c>
      <x:c r="K96" s="12" t="n">
        <x:f>IFERROR(I96*26*J96,0)</x:f>
        <x:v>273000</x:v>
      </x:c>
      <x:c r="L96" s="12" t="n">
        <x:f>IFERROR(H96/I96,0)</x:f>
        <x:v>1.7142857142857142</x:v>
      </x:c>
      <x:c r="M96" s="12" t="n">
        <x:f>IFERROR(26*J96,0)</x:f>
        <x:v>26</x:v>
      </x:c>
      <x:c r="N96" s="14" t="n">
        <x:f>IFERROR(L96/M96,0)</x:f>
        <x:v>0.06593406593406594</x:v>
      </x:c>
      <x:c r="O96" s="14" t="n">
        <x:v>0.7</x:v>
      </x:c>
      <x:c r="P96" s="9" t="n">
        <x:v>1</x:v>
      </x:c>
      <x:c r="Q96" s="9"/>
      <x:c r="R96" s="10" t="str">
        <x:f>IF(N96&gt;1,"Over capacity",IF(N96&gt;=0.85,"High load",IF(N96&gt;=0.5,"Normal","Low load")))</x:f>
        <x:v>Low load</x:v>
      </x:c>
    </x:row>
    <x:row r="97">
      <x:c r="A97" s="8" t="str">
        <x:v>500T 产能分析8#</x:v>
      </x:c>
      <x:c r="B97" s="9" t="str">
        <x:v>500T</x:v>
      </x:c>
      <x:c r="C97" s="9" t="str">
        <x:v>泰国东海</x:v>
      </x:c>
      <x:c r="D97" s="9" t="str">
        <x:v>已量产</x:v>
      </x:c>
      <x:c r="E97" s="9" t="str">
        <x:v>OUTER</x:v>
      </x:c>
      <x:c r="F97" s="9" t="str">
        <x:v>SN-185B-1</x:v>
      </x:c>
      <x:c r="G97" s="9"/>
      <x:c r="H97" s="12" t="n">
        <x:v>17000</x:v>
      </x:c>
      <x:c r="I97" s="12" t="n">
        <x:v>8400</x:v>
      </x:c>
      <x:c r="J97" s="12" t="n">
        <x:v>1</x:v>
      </x:c>
      <x:c r="K97" s="12" t="n">
        <x:f>IFERROR(I97*26*J97,0)</x:f>
        <x:v>218400</x:v>
      </x:c>
      <x:c r="L97" s="12" t="n">
        <x:f>IFERROR(H97/I97,0)</x:f>
        <x:v>2.0238095238095237</x:v>
      </x:c>
      <x:c r="M97" s="12" t="n">
        <x:f>IFERROR(26*J97,0)</x:f>
        <x:v>26</x:v>
      </x:c>
      <x:c r="N97" s="14" t="n">
        <x:f>IFERROR(L97/M97,0)</x:f>
        <x:v>0.07783882783882784</x:v>
      </x:c>
      <x:c r="O97" s="14" t="n">
        <x:v>0.7</x:v>
      </x:c>
      <x:c r="P97" s="9" t="n">
        <x:v>1</x:v>
      </x:c>
      <x:c r="Q97" s="9"/>
      <x:c r="R97" s="10" t="str">
        <x:f>IF(N97&gt;1,"Over capacity",IF(N97&gt;=0.85,"High load",IF(N97&gt;=0.5,"Normal","Low load")))</x:f>
        <x:v>Low load</x:v>
      </x:c>
    </x:row>
    <x:row r="98">
      <x:c r="A98" s="8" t="str">
        <x:v>500T 产能分析8#</x:v>
      </x:c>
      <x:c r="B98" s="9" t="str">
        <x:v>500T</x:v>
      </x:c>
      <x:c r="C98" s="9" t="str">
        <x:v>泰国东海</x:v>
      </x:c>
      <x:c r="D98" s="9" t="str">
        <x:v>已量产</x:v>
      </x:c>
      <x:c r="E98" s="9" t="str">
        <x:v>OUTER</x:v>
      </x:c>
      <x:c r="F98" s="9" t="str">
        <x:v>TM-771A-1</x:v>
      </x:c>
      <x:c r="G98" s="9"/>
      <x:c r="H98" s="12" t="n">
        <x:v>24000</x:v>
      </x:c>
      <x:c r="I98" s="12" t="n">
        <x:v>8400</x:v>
      </x:c>
      <x:c r="J98" s="12" t="n">
        <x:v>1</x:v>
      </x:c>
      <x:c r="K98" s="12" t="n">
        <x:f>IFERROR(I98*26*J98,0)</x:f>
        <x:v>218400</x:v>
      </x:c>
      <x:c r="L98" s="12" t="n">
        <x:f>IFERROR(H98/I98,0)</x:f>
        <x:v>2.857142857142857</x:v>
      </x:c>
      <x:c r="M98" s="12" t="n">
        <x:f>IFERROR(26*J98,0)</x:f>
        <x:v>26</x:v>
      </x:c>
      <x:c r="N98" s="14" t="n">
        <x:f>IFERROR(L98/M98,0)</x:f>
        <x:v>0.10989010989010989</x:v>
      </x:c>
      <x:c r="O98" s="14" t="n">
        <x:v>0.7</x:v>
      </x:c>
      <x:c r="P98" s="9" t="n">
        <x:v>1</x:v>
      </x:c>
      <x:c r="Q98" s="9"/>
      <x:c r="R98" s="10" t="str">
        <x:f>IF(N98&gt;1,"Over capacity",IF(N98&gt;=0.85,"High load",IF(N98&gt;=0.5,"Normal","Low load")))</x:f>
        <x:v>Low load</x:v>
      </x:c>
    </x:row>
    <x:row r="99">
      <x:c r="A99" s="8" t="str">
        <x:v>500T 产能分析8#</x:v>
      </x:c>
      <x:c r="B99" s="9" t="str">
        <x:v>500T</x:v>
      </x:c>
      <x:c r="C99" s="9" t="str">
        <x:v>泰国东海</x:v>
      </x:c>
      <x:c r="D99" s="9" t="str">
        <x:v>已量产</x:v>
      </x:c>
      <x:c r="E99" s="9" t="str">
        <x:v>OUTER</x:v>
      </x:c>
      <x:c r="F99" s="9" t="str">
        <x:v>TM-791A-1</x:v>
      </x:c>
      <x:c r="G99" s="9"/>
      <x:c r="H99" s="12" t="n">
        <x:v>40000</x:v>
      </x:c>
      <x:c r="I99" s="12" t="n">
        <x:v>16800</x:v>
      </x:c>
      <x:c r="J99" s="12" t="n">
        <x:v>1</x:v>
      </x:c>
      <x:c r="K99" s="12" t="n">
        <x:f>IFERROR(I99*26*J99,0)</x:f>
        <x:v>436800</x:v>
      </x:c>
      <x:c r="L99" s="12" t="n">
        <x:f>IFERROR(H99/I99,0)</x:f>
        <x:v>2.380952380952381</x:v>
      </x:c>
      <x:c r="M99" s="12" t="n">
        <x:f>IFERROR(26*J99,0)</x:f>
        <x:v>26</x:v>
      </x:c>
      <x:c r="N99" s="14" t="n">
        <x:f>IFERROR(L99/M99,0)</x:f>
        <x:v>0.09157509157509157</x:v>
      </x:c>
      <x:c r="O99" s="14" t="n">
        <x:v>0.7</x:v>
      </x:c>
      <x:c r="P99" s="9" t="n">
        <x:v>2</x:v>
      </x:c>
      <x:c r="Q99" s="9"/>
      <x:c r="R99" s="10" t="str">
        <x:f>IF(N99&gt;1,"Over capacity",IF(N99&gt;=0.85,"High load",IF(N99&gt;=0.5,"Normal","Low load")))</x:f>
        <x:v>Low load</x:v>
      </x:c>
    </x:row>
    <x:row r="100">
      <x:c r="A100" s="8" t="str">
        <x:v>500T 产能分析8#</x:v>
      </x:c>
      <x:c r="B100" s="9" t="str">
        <x:v>500T</x:v>
      </x:c>
      <x:c r="C100" s="9" t="str">
        <x:v>泰国东海</x:v>
      </x:c>
      <x:c r="D100" s="9" t="str">
        <x:v>已量产</x:v>
      </x:c>
      <x:c r="E100" s="9" t="str">
        <x:v>LWR PLATE</x:v>
      </x:c>
      <x:c r="F100" s="9" t="str">
        <x:v>MC-103A-2</x:v>
      </x:c>
      <x:c r="G100" s="9"/>
      <x:c r="H100" s="12" t="n">
        <x:v>2000</x:v>
      </x:c>
      <x:c r="I100" s="12" t="n">
        <x:v>8400</x:v>
      </x:c>
      <x:c r="J100" s="12" t="n">
        <x:v>1</x:v>
      </x:c>
      <x:c r="K100" s="12" t="n">
        <x:f>IFERROR(I100*26*J100,0)</x:f>
        <x:v>218400</x:v>
      </x:c>
      <x:c r="L100" s="12" t="n">
        <x:f>IFERROR(H100/I100,0)</x:f>
        <x:v>0.23809523809523808</x:v>
      </x:c>
      <x:c r="M100" s="12" t="n">
        <x:f>IFERROR(26*J100,0)</x:f>
        <x:v>26</x:v>
      </x:c>
      <x:c r="N100" s="14" t="n">
        <x:f>IFERROR(L100/M100,0)</x:f>
        <x:v>0.009157509157509156</x:v>
      </x:c>
      <x:c r="O100" s="14" t="n">
        <x:v>0.7</x:v>
      </x:c>
      <x:c r="P100" s="9" t="n">
        <x:v>1</x:v>
      </x:c>
      <x:c r="Q100" s="9"/>
      <x:c r="R100" s="10" t="str">
        <x:f>IF(N100&gt;1,"Over capacity",IF(N100&gt;=0.85,"High load",IF(N100&gt;=0.5,"Normal","Low load")))</x:f>
        <x:v>Low load</x:v>
      </x:c>
    </x:row>
    <x:row r="101">
      <x:c r="A101" s="8" t="str">
        <x:v>500T 产能分析8#</x:v>
      </x:c>
      <x:c r="B101" s="9" t="str">
        <x:v>500T</x:v>
      </x:c>
      <x:c r="C101" s="9" t="str">
        <x:v>泰国东海</x:v>
      </x:c>
      <x:c r="D101" s="9" t="str">
        <x:v>已量产</x:v>
      </x:c>
      <x:c r="E101" s="9" t="str">
        <x:v>OUTER</x:v>
      </x:c>
      <x:c r="F101" s="9" t="str">
        <x:v>TM-806A-1</x:v>
      </x:c>
      <x:c r="G101" s="9"/>
      <x:c r="H101" s="12" t="n">
        <x:v>10000</x:v>
      </x:c>
      <x:c r="I101" s="12" t="n">
        <x:v>8400</x:v>
      </x:c>
      <x:c r="J101" s="12" t="n">
        <x:v>1</x:v>
      </x:c>
      <x:c r="K101" s="12" t="n">
        <x:f>IFERROR(I101*26*J101,0)</x:f>
        <x:v>218400</x:v>
      </x:c>
      <x:c r="L101" s="12" t="n">
        <x:f>IFERROR(H101/I101,0)</x:f>
        <x:v>1.1904761904761905</x:v>
      </x:c>
      <x:c r="M101" s="12" t="n">
        <x:f>IFERROR(26*J101,0)</x:f>
        <x:v>26</x:v>
      </x:c>
      <x:c r="N101" s="14" t="n">
        <x:f>IFERROR(L101/M101,0)</x:f>
        <x:v>0.045787545787545784</x:v>
      </x:c>
      <x:c r="O101" s="14" t="n">
        <x:v>0.7</x:v>
      </x:c>
      <x:c r="P101" s="9" t="n">
        <x:v>1</x:v>
      </x:c>
      <x:c r="Q101" s="9"/>
      <x:c r="R101" s="10" t="str">
        <x:f>IF(N101&gt;1,"Over capacity",IF(N101&gt;=0.85,"High load",IF(N101&gt;=0.5,"Normal","Low load")))</x:f>
        <x:v>Low load</x:v>
      </x:c>
    </x:row>
    <x:row r="102">
      <x:c r="A102" s="8" t="str">
        <x:v>500T 产能分析8#</x:v>
      </x:c>
      <x:c r="B102" s="9" t="str">
        <x:v>500T</x:v>
      </x:c>
      <x:c r="C102" s="9" t="str">
        <x:v>泰国东海</x:v>
      </x:c>
      <x:c r="D102" s="9" t="str">
        <x:v>已量产</x:v>
      </x:c>
      <x:c r="E102" s="9" t="str">
        <x:v>UPPER CUP</x:v>
      </x:c>
      <x:c r="F102" s="9" t="str">
        <x:v>SB-059A-2</x:v>
      </x:c>
      <x:c r="G102" s="9"/>
      <x:c r="H102" s="12" t="n">
        <x:v>5000</x:v>
      </x:c>
      <x:c r="I102" s="12" t="n">
        <x:v>8400</x:v>
      </x:c>
      <x:c r="J102" s="12" t="n">
        <x:v>1</x:v>
      </x:c>
      <x:c r="K102" s="12" t="n">
        <x:f>IFERROR(I102*26*J102,0)</x:f>
        <x:v>218400</x:v>
      </x:c>
      <x:c r="L102" s="12" t="n">
        <x:f>IFERROR(H102/I102,0)</x:f>
        <x:v>0.5952380952380952</x:v>
      </x:c>
      <x:c r="M102" s="12" t="n">
        <x:f>IFERROR(26*J102,0)</x:f>
        <x:v>26</x:v>
      </x:c>
      <x:c r="N102" s="14" t="n">
        <x:f>IFERROR(L102/M102,0)</x:f>
        <x:v>0.022893772893772892</x:v>
      </x:c>
      <x:c r="O102" s="14" t="n">
        <x:v>0.7</x:v>
      </x:c>
      <x:c r="P102" s="9" t="n">
        <x:v>1</x:v>
      </x:c>
      <x:c r="Q102" s="9"/>
      <x:c r="R102" s="10" t="str">
        <x:f>IF(N102&gt;1,"Over capacity",IF(N102&gt;=0.85,"High load",IF(N102&gt;=0.5,"Normal","Low load")))</x:f>
        <x:v>Low load</x:v>
      </x:c>
    </x:row>
    <x:row r="103">
      <x:c r="A103" s="8" t="str">
        <x:v>500T 产能分析8#</x:v>
      </x:c>
      <x:c r="B103" s="9" t="str">
        <x:v>500T</x:v>
      </x:c>
      <x:c r="C103" s="9" t="str">
        <x:v>泰国东海</x:v>
      </x:c>
      <x:c r="D103" s="9" t="str">
        <x:v>已量产</x:v>
      </x:c>
      <x:c r="E103" s="9" t="str">
        <x:v>DIAPHRAGM OUTER</x:v>
      </x:c>
      <x:c r="F103" s="9" t="str">
        <x:v>SB-064-1</x:v>
      </x:c>
      <x:c r="G103" s="9"/>
      <x:c r="H103" s="12" t="n">
        <x:v>3000</x:v>
      </x:c>
      <x:c r="I103" s="12" t="n">
        <x:v>8400</x:v>
      </x:c>
      <x:c r="J103" s="12" t="n">
        <x:v>1</x:v>
      </x:c>
      <x:c r="K103" s="12" t="n">
        <x:f>IFERROR(I103*26*J103,0)</x:f>
        <x:v>218400</x:v>
      </x:c>
      <x:c r="L103" s="12" t="n">
        <x:f>IFERROR(H103/I103,0)</x:f>
        <x:v>0.35714285714285715</x:v>
      </x:c>
      <x:c r="M103" s="12" t="n">
        <x:f>IFERROR(26*J103,0)</x:f>
        <x:v>26</x:v>
      </x:c>
      <x:c r="N103" s="14" t="n">
        <x:f>IFERROR(L103/M103,0)</x:f>
        <x:v>0.013736263736263736</x:v>
      </x:c>
      <x:c r="O103" s="14" t="n">
        <x:v>0.7</x:v>
      </x:c>
      <x:c r="P103" s="9" t="n">
        <x:v>1</x:v>
      </x:c>
      <x:c r="Q103" s="9"/>
      <x:c r="R103" s="10" t="str">
        <x:f>IF(N103&gt;1,"Over capacity",IF(N103&gt;=0.85,"High load",IF(N103&gt;=0.5,"Normal","Low load")))</x:f>
        <x:v>Low load</x:v>
      </x:c>
    </x:row>
    <x:row r="104">
      <x:c r="A104" s="8" t="str">
        <x:v>500T 产能分析8#</x:v>
      </x:c>
      <x:c r="B104" s="9" t="str">
        <x:v>500T</x:v>
      </x:c>
      <x:c r="C104" s="9" t="str">
        <x:v>泰国东海</x:v>
      </x:c>
      <x:c r="D104" s="9" t="str">
        <x:v>已量产</x:v>
      </x:c>
      <x:c r="E104" s="9" t="str">
        <x:v>ACTIVE BRACKET</x:v>
      </x:c>
      <x:c r="F104" s="9" t="str">
        <x:v>SB-068A-1-1</x:v>
      </x:c>
      <x:c r="G104" s="9"/>
      <x:c r="H104" s="12" t="n">
        <x:v>3000</x:v>
      </x:c>
      <x:c r="I104" s="12" t="n">
        <x:v>8400</x:v>
      </x:c>
      <x:c r="J104" s="12" t="n">
        <x:v>1</x:v>
      </x:c>
      <x:c r="K104" s="12" t="n">
        <x:f>IFERROR(I104*26*J104,0)</x:f>
        <x:v>218400</x:v>
      </x:c>
      <x:c r="L104" s="12" t="n">
        <x:f>IFERROR(H104/I104,0)</x:f>
        <x:v>0.35714285714285715</x:v>
      </x:c>
      <x:c r="M104" s="12" t="n">
        <x:f>IFERROR(26*J104,0)</x:f>
        <x:v>26</x:v>
      </x:c>
      <x:c r="N104" s="14" t="n">
        <x:f>IFERROR(L104/M104,0)</x:f>
        <x:v>0.013736263736263736</x:v>
      </x:c>
      <x:c r="O104" s="14" t="n">
        <x:v>0.7</x:v>
      </x:c>
      <x:c r="P104" s="9" t="n">
        <x:v>1</x:v>
      </x:c>
      <x:c r="Q104" s="9"/>
      <x:c r="R104" s="10" t="str">
        <x:f>IF(N104&gt;1,"Over capacity",IF(N104&gt;=0.85,"High load",IF(N104&gt;=0.5,"Normal","Low load")))</x:f>
        <x:v>Low load</x:v>
      </x:c>
    </x:row>
    <x:row r="105">
      <x:c r="A105" s="8" t="str">
        <x:v>500T 产能分析8#</x:v>
      </x:c>
      <x:c r="B105" s="9" t="str">
        <x:v>500T</x:v>
      </x:c>
      <x:c r="C105" s="9" t="str">
        <x:v>泰国东海</x:v>
      </x:c>
      <x:c r="D105" s="9" t="str">
        <x:v>已量产</x:v>
      </x:c>
      <x:c r="E105" s="9" t="str">
        <x:v>UPPER BASE</x:v>
      </x:c>
      <x:c r="F105" s="9" t="str">
        <x:v>SB-068A-1-2</x:v>
      </x:c>
      <x:c r="G105" s="9"/>
      <x:c r="H105" s="12" t="n">
        <x:v>3000</x:v>
      </x:c>
      <x:c r="I105" s="12" t="n">
        <x:v>8400</x:v>
      </x:c>
      <x:c r="J105" s="12" t="n">
        <x:v>1</x:v>
      </x:c>
      <x:c r="K105" s="12" t="n">
        <x:f>IFERROR(I105*26*J105,0)</x:f>
        <x:v>218400</x:v>
      </x:c>
      <x:c r="L105" s="12" t="n">
        <x:f>IFERROR(H105/I105,0)</x:f>
        <x:v>0.35714285714285715</x:v>
      </x:c>
      <x:c r="M105" s="12" t="n">
        <x:f>IFERROR(26*J105,0)</x:f>
        <x:v>26</x:v>
      </x:c>
      <x:c r="N105" s="14" t="n">
        <x:f>IFERROR(L105/M105,0)</x:f>
        <x:v>0.013736263736263736</x:v>
      </x:c>
      <x:c r="O105" s="14" t="n">
        <x:v>0.7</x:v>
      </x:c>
      <x:c r="P105" s="9" t="n">
        <x:v>1</x:v>
      </x:c>
      <x:c r="Q105" s="9"/>
      <x:c r="R105" s="10" t="str">
        <x:f>IF(N105&gt;1,"Over capacity",IF(N105&gt;=0.85,"High load",IF(N105&gt;=0.5,"Normal","Low load")))</x:f>
        <x:v>Low load</x:v>
      </x:c>
    </x:row>
    <x:row r="106">
      <x:c r="A106" s="8" t="str">
        <x:v>500T 产能分析8#</x:v>
      </x:c>
      <x:c r="B106" s="9" t="str">
        <x:v>500T</x:v>
      </x:c>
      <x:c r="C106" s="9" t="str">
        <x:v>泰国东海</x:v>
      </x:c>
      <x:c r="D106" s="9" t="str">
        <x:v>已量产</x:v>
      </x:c>
      <x:c r="E106" s="9" t="str">
        <x:v>ACTIVE BRACKET</x:v>
      </x:c>
      <x:c r="F106" s="9" t="str">
        <x:v>SB-092B-1-1</x:v>
      </x:c>
      <x:c r="G106" s="9"/>
      <x:c r="H106" s="12" t="n">
        <x:v>1500</x:v>
      </x:c>
      <x:c r="I106" s="12" t="n">
        <x:v>8400</x:v>
      </x:c>
      <x:c r="J106" s="12" t="n">
        <x:v>1</x:v>
      </x:c>
      <x:c r="K106" s="12" t="n">
        <x:f>IFERROR(I106*26*J106,0)</x:f>
        <x:v>218400</x:v>
      </x:c>
      <x:c r="L106" s="12" t="n">
        <x:f>IFERROR(H106/I106,0)</x:f>
        <x:v>0.17857142857142858</x:v>
      </x:c>
      <x:c r="M106" s="12" t="n">
        <x:f>IFERROR(26*J106,0)</x:f>
        <x:v>26</x:v>
      </x:c>
      <x:c r="N106" s="14" t="n">
        <x:f>IFERROR(L106/M106,0)</x:f>
        <x:v>0.006868131868131868</x:v>
      </x:c>
      <x:c r="O106" s="14" t="n">
        <x:v>0.7</x:v>
      </x:c>
      <x:c r="P106" s="9" t="n">
        <x:v>1</x:v>
      </x:c>
      <x:c r="Q106" s="9"/>
      <x:c r="R106" s="10" t="str">
        <x:f>IF(N106&gt;1,"Over capacity",IF(N106&gt;=0.85,"High load",IF(N106&gt;=0.5,"Normal","Low load")))</x:f>
        <x:v>Low load</x:v>
      </x:c>
    </x:row>
    <x:row r="107">
      <x:c r="A107" s="8" t="str">
        <x:v>500T 产能分析8#</x:v>
      </x:c>
      <x:c r="B107" s="9" t="str">
        <x:v>500T</x:v>
      </x:c>
      <x:c r="C107" s="9" t="str">
        <x:v>泰国东海</x:v>
      </x:c>
      <x:c r="D107" s="9" t="str">
        <x:v>已量产</x:v>
      </x:c>
      <x:c r="E107" s="9" t="str">
        <x:v>ACTIVE BRACKET LOWER</x:v>
      </x:c>
      <x:c r="F107" s="9" t="str">
        <x:v>SB-092B-1-2</x:v>
      </x:c>
      <x:c r="G107" s="9"/>
      <x:c r="H107" s="12" t="n">
        <x:v>1500</x:v>
      </x:c>
      <x:c r="I107" s="12" t="n">
        <x:v>8400</x:v>
      </x:c>
      <x:c r="J107" s="12" t="n">
        <x:v>1</x:v>
      </x:c>
      <x:c r="K107" s="12" t="n">
        <x:f>IFERROR(I107*26*J107,0)</x:f>
        <x:v>218400</x:v>
      </x:c>
      <x:c r="L107" s="12" t="n">
        <x:f>IFERROR(H107/I107,0)</x:f>
        <x:v>0.17857142857142858</x:v>
      </x:c>
      <x:c r="M107" s="12" t="n">
        <x:f>IFERROR(26*J107,0)</x:f>
        <x:v>26</x:v>
      </x:c>
      <x:c r="N107" s="14" t="n">
        <x:f>IFERROR(L107/M107,0)</x:f>
        <x:v>0.006868131868131868</x:v>
      </x:c>
      <x:c r="O107" s="14" t="n">
        <x:v>0.7</x:v>
      </x:c>
      <x:c r="P107" s="9" t="n">
        <x:v>1</x:v>
      </x:c>
      <x:c r="Q107" s="9"/>
      <x:c r="R107" s="10" t="str">
        <x:f>IF(N107&gt;1,"Over capacity",IF(N107&gt;=0.85,"High load",IF(N107&gt;=0.5,"Normal","Low load")))</x:f>
        <x:v>Low load</x:v>
      </x:c>
    </x:row>
    <x:row r="108">
      <x:c r="A108" s="8" t="str">
        <x:v>500T 产能分析8#</x:v>
      </x:c>
      <x:c r="B108" s="9" t="str">
        <x:v>500T</x:v>
      </x:c>
      <x:c r="C108" s="9" t="str">
        <x:v>泰国东海</x:v>
      </x:c>
      <x:c r="D108" s="9" t="str">
        <x:v>已量产</x:v>
      </x:c>
      <x:c r="E108" s="9" t="str">
        <x:v>CG BASE</x:v>
      </x:c>
      <x:c r="F108" s="9" t="str">
        <x:v>1121416-AA</x:v>
      </x:c>
      <x:c r="G108" s="9"/>
      <x:c r="H108" s="12" t="n">
        <x:v>15000</x:v>
      </x:c>
      <x:c r="I108" s="12" t="n">
        <x:v>8400</x:v>
      </x:c>
      <x:c r="J108" s="12" t="n">
        <x:v>1</x:v>
      </x:c>
      <x:c r="K108" s="12" t="n">
        <x:f>IFERROR(I108*26*J108,0)</x:f>
        <x:v>218400</x:v>
      </x:c>
      <x:c r="L108" s="12" t="n">
        <x:f>IFERROR(H108/I108,0)</x:f>
        <x:v>1.7857142857142858</x:v>
      </x:c>
      <x:c r="M108" s="12" t="n">
        <x:f>IFERROR(26*J108,0)</x:f>
        <x:v>26</x:v>
      </x:c>
      <x:c r="N108" s="14" t="n">
        <x:f>IFERROR(L108/M108,0)</x:f>
        <x:v>0.06868131868131869</x:v>
      </x:c>
      <x:c r="O108" s="14" t="n">
        <x:v>0.7</x:v>
      </x:c>
      <x:c r="P108" s="9" t="n">
        <x:v>1</x:v>
      </x:c>
      <x:c r="Q108" s="9"/>
      <x:c r="R108" s="10" t="str">
        <x:f>IF(N108&gt;1,"Over capacity",IF(N108&gt;=0.85,"High load",IF(N108&gt;=0.5,"Normal","Low load")))</x:f>
        <x:v>Low load</x:v>
      </x:c>
    </x:row>
    <x:row r="109">
      <x:c r="A109" s="8" t="str">
        <x:v>500T 产能分析8#</x:v>
      </x:c>
      <x:c r="B109" s="9" t="str">
        <x:v>500T</x:v>
      </x:c>
      <x:c r="C109" s="9" t="str">
        <x:v>泰国东海</x:v>
      </x:c>
      <x:c r="D109" s="9" t="str">
        <x:v>已量产</x:v>
      </x:c>
      <x:c r="E109" s="9" t="str">
        <x:v>OUTER</x:v>
      </x:c>
      <x:c r="F109" s="9" t="str">
        <x:v>TM-860A-1</x:v>
      </x:c>
      <x:c r="G109" s="9"/>
      <x:c r="H109" s="12" t="n">
        <x:v>15000</x:v>
      </x:c>
      <x:c r="I109" s="12" t="n">
        <x:v>8400</x:v>
      </x:c>
      <x:c r="J109" s="12" t="n">
        <x:v>1</x:v>
      </x:c>
      <x:c r="K109" s="12" t="n">
        <x:f>IFERROR(I109*26*J109,0)</x:f>
        <x:v>218400</x:v>
      </x:c>
      <x:c r="L109" s="12" t="n">
        <x:f>IFERROR(H109/I109,0)</x:f>
        <x:v>1.7857142857142858</x:v>
      </x:c>
      <x:c r="M109" s="12" t="n">
        <x:f>IFERROR(26*J109,0)</x:f>
        <x:v>26</x:v>
      </x:c>
      <x:c r="N109" s="14" t="n">
        <x:f>IFERROR(L109/M109,0)</x:f>
        <x:v>0.06868131868131869</x:v>
      </x:c>
      <x:c r="O109" s="14" t="n">
        <x:v>0.7</x:v>
      </x:c>
      <x:c r="P109" s="9" t="n">
        <x:v>1</x:v>
      </x:c>
      <x:c r="Q109" s="9"/>
      <x:c r="R109" s="10" t="str">
        <x:f>IF(N109&gt;1,"Over capacity",IF(N109&gt;=0.85,"High load",IF(N109&gt;=0.5,"Normal","Low load")))</x:f>
        <x:v>Low load</x:v>
      </x:c>
    </x:row>
    <x:row r="110">
      <x:c r="A110" s="8" t="str">
        <x:v>500T 产能分析8#</x:v>
      </x:c>
      <x:c r="B110" s="9" t="str">
        <x:v>500T</x:v>
      </x:c>
      <x:c r="C110" s="9" t="str">
        <x:v>泰国东海</x:v>
      </x:c>
      <x:c r="D110" s="9" t="str">
        <x:v>已量产</x:v>
      </x:c>
      <x:c r="E110" s="9" t="str">
        <x:v>OUTER</x:v>
      </x:c>
      <x:c r="F110" s="9" t="str">
        <x:v>TM-865A-1</x:v>
      </x:c>
      <x:c r="G110" s="9"/>
      <x:c r="H110" s="12" t="n">
        <x:v>50000</x:v>
      </x:c>
      <x:c r="I110" s="12" t="n">
        <x:v>8400</x:v>
      </x:c>
      <x:c r="J110" s="12" t="n">
        <x:v>1</x:v>
      </x:c>
      <x:c r="K110" s="12" t="n">
        <x:f>IFERROR(I110*26*J110,0)</x:f>
        <x:v>218400</x:v>
      </x:c>
      <x:c r="L110" s="12" t="n">
        <x:f>IFERROR(H110/I110,0)</x:f>
        <x:v>5.9523809523809526</x:v>
      </x:c>
      <x:c r="M110" s="12" t="n">
        <x:f>IFERROR(26*J110,0)</x:f>
        <x:v>26</x:v>
      </x:c>
      <x:c r="N110" s="14" t="n">
        <x:f>IFERROR(L110/M110,0)</x:f>
        <x:v>0.22893772893772896</x:v>
      </x:c>
      <x:c r="O110" s="14" t="n">
        <x:v>0.7</x:v>
      </x:c>
      <x:c r="P110" s="9" t="n">
        <x:v>1</x:v>
      </x:c>
      <x:c r="Q110" s="9"/>
      <x:c r="R110" s="10" t="str">
        <x:f>IF(N110&gt;1,"Over capacity",IF(N110&gt;=0.85,"High load",IF(N110&gt;=0.5,"Normal","Low load")))</x:f>
        <x:v>Low load</x:v>
      </x:c>
    </x:row>
    <x:row r="111">
      <x:c r="A111" s="8" t="str">
        <x:v>500T 产能分析8#</x:v>
      </x:c>
      <x:c r="B111" s="9" t="str">
        <x:v>500T</x:v>
      </x:c>
      <x:c r="C111" s="9" t="str">
        <x:v>泰国东海</x:v>
      </x:c>
      <x:c r="D111" s="9" t="str">
        <x:v>已量产</x:v>
      </x:c>
      <x:c r="E111" s="9" t="str">
        <x:v>CUP</x:v>
      </x:c>
      <x:c r="F111" s="9" t="str">
        <x:v>T M-818A-1</x:v>
      </x:c>
      <x:c r="G111" s="9"/>
      <x:c r="H111" s="12" t="n">
        <x:v>1500</x:v>
      </x:c>
      <x:c r="I111" s="12" t="n">
        <x:v>10500</x:v>
      </x:c>
      <x:c r="J111" s="12" t="n">
        <x:v>1</x:v>
      </x:c>
      <x:c r="K111" s="12" t="n">
        <x:f>IFERROR(I111*26*J111,0)</x:f>
        <x:v>273000</x:v>
      </x:c>
      <x:c r="L111" s="12" t="n">
        <x:f>IFERROR(H111/I111,0)</x:f>
        <x:v>0.14285714285714285</x:v>
      </x:c>
      <x:c r="M111" s="12" t="n">
        <x:f>IFERROR(26*J111,0)</x:f>
        <x:v>26</x:v>
      </x:c>
      <x:c r="N111" s="14" t="n">
        <x:f>IFERROR(L111/M111,0)</x:f>
        <x:v>0.005494505494505494</x:v>
      </x:c>
      <x:c r="O111" s="14" t="n">
        <x:v>0.7</x:v>
      </x:c>
      <x:c r="P111" s="9" t="n">
        <x:v>1</x:v>
      </x:c>
      <x:c r="Q111" s="9"/>
      <x:c r="R111" s="10" t="str">
        <x:f>IF(N111&gt;1,"Over capacity",IF(N111&gt;=0.85,"High load",IF(N111&gt;=0.5,"Normal","Low load")))</x:f>
        <x:v>Low load</x:v>
      </x:c>
    </x:row>
    <x:row r="112">
      <x:c r="A112" s="8" t="str">
        <x:v>500T 产能分析8#</x:v>
      </x:c>
      <x:c r="B112" s="9" t="str">
        <x:v>500T</x:v>
      </x:c>
      <x:c r="C112" s="9" t="str">
        <x:v>泰国东海</x:v>
      </x:c>
      <x:c r="D112" s="9" t="str">
        <x:v>已量产</x:v>
      </x:c>
      <x:c r="E112" s="9" t="str">
        <x:v>PLATE</x:v>
      </x:c>
      <x:c r="F112" s="9" t="str">
        <x:v>TM-795A-1</x:v>
      </x:c>
      <x:c r="G112" s="9"/>
      <x:c r="H112" s="12" t="n">
        <x:v>45000</x:v>
      </x:c>
      <x:c r="I112" s="12" t="n">
        <x:v>21000</x:v>
      </x:c>
      <x:c r="J112" s="12" t="n">
        <x:v>1</x:v>
      </x:c>
      <x:c r="K112" s="12" t="n">
        <x:f>IFERROR(I112*26*J112,0)</x:f>
        <x:v>546000</x:v>
      </x:c>
      <x:c r="L112" s="12" t="n">
        <x:f>IFERROR(H112/I112,0)</x:f>
        <x:v>2.142857142857143</x:v>
      </x:c>
      <x:c r="M112" s="12" t="n">
        <x:f>IFERROR(26*J112,0)</x:f>
        <x:v>26</x:v>
      </x:c>
      <x:c r="N112" s="14" t="n">
        <x:f>IFERROR(L112/M112,0)</x:f>
        <x:v>0.08241758241758242</x:v>
      </x:c>
      <x:c r="O112" s="14" t="n">
        <x:v>0.7</x:v>
      </x:c>
      <x:c r="P112" s="9" t="n">
        <x:v>2</x:v>
      </x:c>
      <x:c r="Q112" s="9"/>
      <x:c r="R112" s="10" t="str">
        <x:f>IF(N112&gt;1,"Over capacity",IF(N112&gt;=0.85,"High load",IF(N112&gt;=0.5,"Normal","Low load")))</x:f>
        <x:v>Low load</x:v>
      </x:c>
    </x:row>
    <x:row r="113">
      <x:c r="A113" s="8" t="str">
        <x:v>500T 产能分析8#</x:v>
      </x:c>
      <x:c r="B113" s="9" t="str">
        <x:v>500T</x:v>
      </x:c>
      <x:c r="C113" s="9" t="str">
        <x:v>泰国东海</x:v>
      </x:c>
      <x:c r="D113" s="9" t="str">
        <x:v>已量产</x:v>
      </x:c>
      <x:c r="E113" s="9" t="str">
        <x:v>LOWER PLATE</x:v>
      </x:c>
      <x:c r="F113" s="9" t="str">
        <x:v>SB-042B-2-1</x:v>
      </x:c>
      <x:c r="G113" s="9"/>
      <x:c r="H113" s="12" t="n">
        <x:v>6000</x:v>
      </x:c>
      <x:c r="I113" s="12" t="n">
        <x:v>21000</x:v>
      </x:c>
      <x:c r="J113" s="12" t="n">
        <x:v>1</x:v>
      </x:c>
      <x:c r="K113" s="12" t="n">
        <x:f>IFERROR(I113*26*J113,0)</x:f>
        <x:v>546000</x:v>
      </x:c>
      <x:c r="L113" s="12" t="n">
        <x:f>IFERROR(H113/I113,0)</x:f>
        <x:v>0.2857142857142857</x:v>
      </x:c>
      <x:c r="M113" s="12" t="n">
        <x:f>IFERROR(26*J113,0)</x:f>
        <x:v>26</x:v>
      </x:c>
      <x:c r="N113" s="14" t="n">
        <x:f>IFERROR(L113/M113,0)</x:f>
        <x:v>0.010989010989010988</x:v>
      </x:c>
      <x:c r="O113" s="14" t="n">
        <x:v>0.7</x:v>
      </x:c>
      <x:c r="P113" s="9" t="n">
        <x:v>2</x:v>
      </x:c>
      <x:c r="Q113" s="9"/>
      <x:c r="R113" s="10" t="str">
        <x:f>IF(N113&gt;1,"Over capacity",IF(N113&gt;=0.85,"High load",IF(N113&gt;=0.5,"Normal","Low load")))</x:f>
        <x:v>Low load</x:v>
      </x:c>
    </x:row>
    <x:row r="114">
      <x:c r="A114" s="8" t="str">
        <x:v>110T 产能单冲9#</x:v>
      </x:c>
      <x:c r="B114" s="9" t="str">
        <x:v>110T</x:v>
      </x:c>
      <x:c r="C114" s="9" t="str">
        <x:v>泰国东海</x:v>
      </x:c>
      <x:c r="D114" s="9" t="str">
        <x:v>已量产</x:v>
      </x:c>
      <x:c r="E114" s="9" t="str">
        <x:v>UPPER CUP</x:v>
      </x:c>
      <x:c r="F114" s="9" t="str">
        <x:v>SB-059A-2</x:v>
      </x:c>
      <x:c r="G114" s="9"/>
      <x:c r="H114" s="12" t="n">
        <x:v>5000</x:v>
      </x:c>
      <x:c r="I114" s="12" t="n">
        <x:v>2100</x:v>
      </x:c>
      <x:c r="J114" s="12" t="n">
        <x:v>1</x:v>
      </x:c>
      <x:c r="K114" s="12" t="n">
        <x:f>IFERROR(I114*26*J114,0)</x:f>
        <x:v>54600</x:v>
      </x:c>
      <x:c r="L114" s="12" t="n">
        <x:f>IFERROR(H114/I114,0)</x:f>
        <x:v>2.380952380952381</x:v>
      </x:c>
      <x:c r="M114" s="12" t="n">
        <x:f>IFERROR(26*J114,0)</x:f>
        <x:v>26</x:v>
      </x:c>
      <x:c r="N114" s="14" t="n">
        <x:f>IFERROR(L114/M114,0)</x:f>
        <x:v>0.09157509157509157</x:v>
      </x:c>
      <x:c r="O114" s="14" t="n">
        <x:v>0.7</x:v>
      </x:c>
      <x:c r="P114" s="9" t="n">
        <x:v>1</x:v>
      </x:c>
      <x:c r="Q114" s="9"/>
      <x:c r="R114" s="10" t="str">
        <x:f>IF(N114&gt;1,"Over capacity",IF(N114&gt;=0.85,"High load",IF(N114&gt;=0.5,"Normal","Low load")))</x:f>
        <x:v>Low load</x:v>
      </x:c>
    </x:row>
    <x:row r="115">
      <x:c r="A115" s="8" t="str">
        <x:v>110T 产能单冲9#</x:v>
      </x:c>
      <x:c r="B115" s="9" t="str">
        <x:v>110T</x:v>
      </x:c>
      <x:c r="C115" s="9" t="str">
        <x:v>泰国东海</x:v>
      </x:c>
      <x:c r="D115" s="9" t="str">
        <x:v>已量产</x:v>
      </x:c>
      <x:c r="E115" s="9" t="str">
        <x:v>HEAT SHIELD</x:v>
      </x:c>
      <x:c r="F115" s="9" t="str">
        <x:v>SB-070A-1</x:v>
      </x:c>
      <x:c r="G115" s="9"/>
      <x:c r="H115" s="12" t="n">
        <x:v>14000</x:v>
      </x:c>
      <x:c r="I115" s="12" t="n">
        <x:v>2100</x:v>
      </x:c>
      <x:c r="J115" s="12" t="n">
        <x:v>1</x:v>
      </x:c>
      <x:c r="K115" s="12" t="n">
        <x:f>IFERROR(I115*26*J115,0)</x:f>
        <x:v>54600</x:v>
      </x:c>
      <x:c r="L115" s="12" t="n">
        <x:f>IFERROR(H115/I115,0)</x:f>
        <x:v>6.666666666666667</x:v>
      </x:c>
      <x:c r="M115" s="12" t="n">
        <x:f>IFERROR(26*J115,0)</x:f>
        <x:v>26</x:v>
      </x:c>
      <x:c r="N115" s="14" t="n">
        <x:f>IFERROR(L115/M115,0)</x:f>
        <x:v>0.25641025641025644</x:v>
      </x:c>
      <x:c r="O115" s="14" t="n">
        <x:v>0.7</x:v>
      </x:c>
      <x:c r="P115" s="9" t="n">
        <x:v>1</x:v>
      </x:c>
      <x:c r="Q115" s="9"/>
      <x:c r="R115" s="10" t="str">
        <x:f>IF(N115&gt;1,"Over capacity",IF(N115&gt;=0.85,"High load",IF(N115&gt;=0.5,"Normal","Low load")))</x:f>
        <x:v>Low load</x:v>
      </x:c>
    </x:row>
    <x:row r="116">
      <x:c r="A116" s="8" t="str">
        <x:v>110T 产能单冲9#</x:v>
      </x:c>
      <x:c r="B116" s="9" t="str">
        <x:v>110T</x:v>
      </x:c>
      <x:c r="C116" s="9" t="str">
        <x:v>泰国东海</x:v>
      </x:c>
      <x:c r="D116" s="9" t="str">
        <x:v>已量产</x:v>
      </x:c>
      <x:c r="E116" s="9" t="str">
        <x:v>PASSIVE BRACKET</x:v>
      </x:c>
      <x:c r="F116" s="9" t="str">
        <x:v>SB-042E-2-2</x:v>
      </x:c>
      <x:c r="G116" s="9"/>
      <x:c r="H116" s="12" t="n">
        <x:v>8000</x:v>
      </x:c>
      <x:c r="I116" s="12" t="n">
        <x:v>2100</x:v>
      </x:c>
      <x:c r="J116" s="12" t="n">
        <x:v>1</x:v>
      </x:c>
      <x:c r="K116" s="12" t="n">
        <x:f>IFERROR(I116*26*J116,0)</x:f>
        <x:v>54600</x:v>
      </x:c>
      <x:c r="L116" s="12" t="n">
        <x:f>IFERROR(H116/I116,0)</x:f>
        <x:v>3.8095238095238093</x:v>
      </x:c>
      <x:c r="M116" s="12" t="n">
        <x:f>IFERROR(26*J116,0)</x:f>
        <x:v>26</x:v>
      </x:c>
      <x:c r="N116" s="14" t="n">
        <x:f>IFERROR(L116/M116,0)</x:f>
        <x:v>0.1465201465201465</x:v>
      </x:c>
      <x:c r="O116" s="14" t="n">
        <x:v>0.7</x:v>
      </x:c>
      <x:c r="P116" s="9" t="n">
        <x:v>1</x:v>
      </x:c>
      <x:c r="Q116" s="9"/>
      <x:c r="R116" s="10" t="str">
        <x:f>IF(N116&gt;1,"Over capacity",IF(N116&gt;=0.85,"High load",IF(N116&gt;=0.5,"Normal","Low load")))</x:f>
        <x:v>Low load</x:v>
      </x:c>
    </x:row>
    <x:row r="117">
      <x:c r="A117" s="8" t="str">
        <x:v>110T 产能单冲9#</x:v>
      </x:c>
      <x:c r="B117" s="9" t="str">
        <x:v>110T</x:v>
      </x:c>
      <x:c r="C117" s="9" t="str">
        <x:v>泰国东海</x:v>
      </x:c>
      <x:c r="D117" s="9" t="str">
        <x:v>26年 8月</x:v>
      </x:c>
      <x:c r="E117" s="9" t="str">
        <x:v>BRKT SUB ASSY</x:v>
      </x:c>
      <x:c r="F117" s="9" t="str">
        <x:v>TH-538A-2</x:v>
      </x:c>
      <x:c r="G117" s="9"/>
      <x:c r="H117" s="12" t="n">
        <x:v>26100</x:v>
      </x:c>
      <x:c r="I117" s="12" t="n">
        <x:v>2100</x:v>
      </x:c>
      <x:c r="J117" s="12" t="n">
        <x:v>1</x:v>
      </x:c>
      <x:c r="K117" s="12" t="n">
        <x:f>IFERROR(I117*26*J117,0)</x:f>
        <x:v>54600</x:v>
      </x:c>
      <x:c r="L117" s="12" t="n">
        <x:f>IFERROR(H117/I117,0)</x:f>
        <x:v>12.428571428571429</x:v>
      </x:c>
      <x:c r="M117" s="12" t="n">
        <x:f>IFERROR(26*J117,0)</x:f>
        <x:v>26</x:v>
      </x:c>
      <x:c r="N117" s="14" t="n">
        <x:f>IFERROR(L117/M117,0)</x:f>
        <x:v>0.47802197802197804</x:v>
      </x:c>
      <x:c r="O117" s="14" t="n">
        <x:v>0.7</x:v>
      </x:c>
      <x:c r="P117" s="9" t="n">
        <x:v>1</x:v>
      </x:c>
      <x:c r="Q117" s="9"/>
      <x:c r="R117" s="10" t="str">
        <x:f>IF(N117&gt;1,"Over capacity",IF(N117&gt;=0.85,"High load",IF(N117&gt;=0.5,"Normal","Low load")))</x:f>
        <x:v>Low load</x:v>
      </x:c>
    </x:row>
    <x:row r="118">
      <x:c r="A118" s="8" t="str">
        <x:v>110T 产能单冲9#</x:v>
      </x:c>
      <x:c r="B118" s="9" t="str">
        <x:v>110T</x:v>
      </x:c>
      <x:c r="C118" s="9" t="str">
        <x:v>泰国东海</x:v>
      </x:c>
      <x:c r="D118" s="9" t="str">
        <x:v>26年 2月</x:v>
      </x:c>
      <x:c r="E118" s="9"/>
      <x:c r="F118" s="9" t="str">
        <x:v>SB-104-1</x:v>
      </x:c>
      <x:c r="G118" s="9"/>
      <x:c r="H118" s="12" t="n">
        <x:v>800</x:v>
      </x:c>
      <x:c r="I118" s="12" t="n">
        <x:v>2100</x:v>
      </x:c>
      <x:c r="J118" s="12" t="n">
        <x:v>1</x:v>
      </x:c>
      <x:c r="K118" s="12" t="n">
        <x:f>IFERROR(I118*26*J118,0)</x:f>
        <x:v>54600</x:v>
      </x:c>
      <x:c r="L118" s="12" t="n">
        <x:f>IFERROR(H118/I118,0)</x:f>
        <x:v>0.38095238095238093</x:v>
      </x:c>
      <x:c r="M118" s="12" t="n">
        <x:f>IFERROR(26*J118,0)</x:f>
        <x:v>26</x:v>
      </x:c>
      <x:c r="N118" s="14" t="n">
        <x:f>IFERROR(L118/M118,0)</x:f>
        <x:v>0.014652014652014652</x:v>
      </x:c>
      <x:c r="O118" s="14" t="n">
        <x:v>0.7</x:v>
      </x:c>
      <x:c r="P118" s="9" t="n">
        <x:v>1</x:v>
      </x:c>
      <x:c r="Q118" s="9"/>
      <x:c r="R118" s="10" t="str">
        <x:f>IF(N118&gt;1,"Over capacity",IF(N118&gt;=0.85,"High load",IF(N118&gt;=0.5,"Normal","Low load")))</x:f>
        <x:v>Low load</x:v>
      </x:c>
    </x:row>
    <x:row r="119">
      <x:c r="A119" s="8" t="str">
        <x:v>110T 产能单冲9#</x:v>
      </x:c>
      <x:c r="B119" s="9" t="str">
        <x:v>110T</x:v>
      </x:c>
      <x:c r="C119" s="9" t="str">
        <x:v>泰国东海</x:v>
      </x:c>
      <x:c r="D119" s="9" t="str">
        <x:v>已量产</x:v>
      </x:c>
      <x:c r="E119" s="9"/>
      <x:c r="F119" s="9" t="str">
        <x:v>SB-092-1</x:v>
      </x:c>
      <x:c r="G119" s="9"/>
      <x:c r="H119" s="12" t="n">
        <x:v>1500</x:v>
      </x:c>
      <x:c r="I119" s="12" t="n">
        <x:v>2100</x:v>
      </x:c>
      <x:c r="J119" s="12" t="n">
        <x:v>1</x:v>
      </x:c>
      <x:c r="K119" s="12" t="n">
        <x:f>IFERROR(I119*26*J119,0)</x:f>
        <x:v>54600</x:v>
      </x:c>
      <x:c r="L119" s="12" t="n">
        <x:f>IFERROR(H119/I119,0)</x:f>
        <x:v>0.7142857142857143</x:v>
      </x:c>
      <x:c r="M119" s="12" t="n">
        <x:f>IFERROR(26*J119,0)</x:f>
        <x:v>26</x:v>
      </x:c>
      <x:c r="N119" s="14" t="n">
        <x:f>IFERROR(L119/M119,0)</x:f>
        <x:v>0.027472527472527472</x:v>
      </x:c>
      <x:c r="O119" s="14" t="n">
        <x:v>0.7</x:v>
      </x:c>
      <x:c r="P119" s="9" t="n">
        <x:v>1</x:v>
      </x:c>
      <x:c r="Q119" s="9"/>
      <x:c r="R119" s="10" t="str">
        <x:f>IF(N119&gt;1,"Over capacity",IF(N119&gt;=0.85,"High load",IF(N119&gt;=0.5,"Normal","Low load")))</x:f>
        <x:v>Low load</x:v>
      </x:c>
    </x:row>
    <x:row r="120">
      <x:c r="A120" s="8" t="str">
        <x:v>110T 产能单冲9#</x:v>
      </x:c>
      <x:c r="B120" s="9" t="str">
        <x:v>110T</x:v>
      </x:c>
      <x:c r="C120" s="9" t="str">
        <x:v>泰国均胜</x:v>
      </x:c>
      <x:c r="D120" s="9" t="str">
        <x:v>已量产</x:v>
      </x:c>
      <x:c r="E120" s="9" t="str">
        <x:v>RETAINER RING ASSEMBLY</x:v>
      </x:c>
      <x:c r="F120" s="9" t="str">
        <x:v>5036755-AA</x:v>
      </x:c>
      <x:c r="G120" s="9"/>
      <x:c r="H120" s="12" t="n">
        <x:v>5000</x:v>
      </x:c>
      <x:c r="I120" s="12" t="n">
        <x:v>1260</x:v>
      </x:c>
      <x:c r="J120" s="12" t="n">
        <x:v>1</x:v>
      </x:c>
      <x:c r="K120" s="12" t="n">
        <x:f>IFERROR(I120*26*J120,0)</x:f>
        <x:v>32760</x:v>
      </x:c>
      <x:c r="L120" s="12" t="n">
        <x:f>IFERROR(H120/I120,0)</x:f>
        <x:v>3.9682539682539684</x:v>
      </x:c>
      <x:c r="M120" s="12" t="n">
        <x:f>IFERROR(26*J120,0)</x:f>
        <x:v>26</x:v>
      </x:c>
      <x:c r="N120" s="14" t="n">
        <x:f>IFERROR(L120/M120,0)</x:f>
        <x:v>0.15262515262515264</x:v>
      </x:c>
      <x:c r="O120" s="14" t="n">
        <x:v>0.7</x:v>
      </x:c>
      <x:c r="P120" s="9" t="n">
        <x:v>1</x:v>
      </x:c>
      <x:c r="Q120" s="9"/>
      <x:c r="R120" s="10" t="str">
        <x:f>IF(N120&gt;1,"Over capacity",IF(N120&gt;=0.85,"High load",IF(N120&gt;=0.5,"Normal","Low load")))</x:f>
        <x:v>Low load</x:v>
      </x:c>
    </x:row>
    <x:row r="121">
      <x:c r="A121" s="8" t="str">
        <x:v>110T 产能单冲9#</x:v>
      </x:c>
      <x:c r="B121" s="9" t="str">
        <x:v>110T</x:v>
      </x:c>
      <x:c r="C121" s="9" t="str">
        <x:v>泰国均胜</x:v>
      </x:c>
      <x:c r="D121" s="9" t="str">
        <x:v>已量产</x:v>
      </x:c>
      <x:c r="E121" s="9" t="str">
        <x:v>CG BASE</x:v>
      </x:c>
      <x:c r="F121" s="9"/>
      <x:c r="G121" s="9"/>
      <x:c r="H121" s="12" t="n">
        <x:v>7000</x:v>
      </x:c>
      <x:c r="I121" s="12" t="n">
        <x:v>2100</x:v>
      </x:c>
      <x:c r="J121" s="12" t="n">
        <x:v>1</x:v>
      </x:c>
      <x:c r="K121" s="12" t="n">
        <x:f>IFERROR(I121*26*J121,0)</x:f>
        <x:v>54600</x:v>
      </x:c>
      <x:c r="L121" s="12" t="n">
        <x:f>IFERROR(H121/I121,0)</x:f>
        <x:v>3.3333333333333335</x:v>
      </x:c>
      <x:c r="M121" s="12" t="n">
        <x:f>IFERROR(26*J121,0)</x:f>
        <x:v>26</x:v>
      </x:c>
      <x:c r="N121" s="14" t="n">
        <x:f>IFERROR(L121/M121,0)</x:f>
        <x:v>0.12820512820512822</x:v>
      </x:c>
      <x:c r="O121" s="14" t="n">
        <x:v>0.7</x:v>
      </x:c>
      <x:c r="P121" s="9" t="n">
        <x:v>1</x:v>
      </x:c>
      <x:c r="Q121" s="9"/>
      <x:c r="R121" s="10" t="str">
        <x:f>IF(N121&gt;1,"Over capacity",IF(N121&gt;=0.85,"High load",IF(N121&gt;=0.5,"Normal","Low load")))</x:f>
        <x:v>Low load</x:v>
      </x:c>
    </x:row>
    <x:row r="122">
      <x:c r="A122" s="8" t="str">
        <x:v>110T 产能单冲9#</x:v>
      </x:c>
      <x:c r="B122" s="9" t="str">
        <x:v>110T</x:v>
      </x:c>
      <x:c r="C122" s="9" t="str">
        <x:v>施耐德</x:v>
      </x:c>
      <x:c r="D122" s="9" t="str">
        <x:v>已量产</x:v>
      </x:c>
      <x:c r="E122" s="9" t="str">
        <x:v>GRAN PLATE  LC600</x:v>
      </x:c>
      <x:c r="F122" s="9"/>
      <x:c r="G122" s="9"/>
      <x:c r="H122" s="12" t="n">
        <x:v>4000</x:v>
      </x:c>
      <x:c r="I122" s="12" t="n">
        <x:v>1260</x:v>
      </x:c>
      <x:c r="J122" s="12" t="n">
        <x:v>1</x:v>
      </x:c>
      <x:c r="K122" s="12" t="n">
        <x:f>IFERROR(I122*26*J122,0)</x:f>
        <x:v>32760</x:v>
      </x:c>
      <x:c r="L122" s="12" t="n">
        <x:f>IFERROR(H122/I122,0)</x:f>
        <x:v>3.1746031746031744</x:v>
      </x:c>
      <x:c r="M122" s="12" t="n">
        <x:f>IFERROR(26*J122,0)</x:f>
        <x:v>26</x:v>
      </x:c>
      <x:c r="N122" s="14" t="n">
        <x:f>IFERROR(L122/M122,0)</x:f>
        <x:v>0.1221001221001221</x:v>
      </x:c>
      <x:c r="O122" s="14" t="n">
        <x:v>0.7</x:v>
      </x:c>
      <x:c r="P122" s="9" t="n">
        <x:v>1</x:v>
      </x:c>
      <x:c r="Q122" s="9"/>
      <x:c r="R122" s="10" t="str">
        <x:f>IF(N122&gt;1,"Over capacity",IF(N122&gt;=0.85,"High load",IF(N122&gt;=0.5,"Normal","Low load")))</x:f>
        <x:v>Low load</x:v>
      </x:c>
    </x:row>
    <x:row r="123">
      <x:c r="A123" s="8" t="str">
        <x:v>110T 产能单冲9#</x:v>
      </x:c>
      <x:c r="B123" s="9" t="str">
        <x:v>110T</x:v>
      </x:c>
      <x:c r="C123" s="9" t="str">
        <x:v>施耐德</x:v>
      </x:c>
      <x:c r="D123" s="9" t="str">
        <x:v>已量产</x:v>
      </x:c>
      <x:c r="E123" s="9" t="str">
        <x:v>COVER</x:v>
      </x:c>
      <x:c r="F123" s="9"/>
      <x:c r="G123" s="9"/>
      <x:c r="H123" s="12" t="n">
        <x:v>4000</x:v>
      </x:c>
      <x:c r="I123" s="12" t="n">
        <x:v>2100</x:v>
      </x:c>
      <x:c r="J123" s="12" t="n">
        <x:v>1</x:v>
      </x:c>
      <x:c r="K123" s="12" t="n">
        <x:f>IFERROR(I123*26*J123,0)</x:f>
        <x:v>54600</x:v>
      </x:c>
      <x:c r="L123" s="12" t="n">
        <x:f>IFERROR(H123/I123,0)</x:f>
        <x:v>1.9047619047619047</x:v>
      </x:c>
      <x:c r="M123" s="12" t="n">
        <x:f>IFERROR(26*J123,0)</x:f>
        <x:v>26</x:v>
      </x:c>
      <x:c r="N123" s="14" t="n">
        <x:f>IFERROR(L123/M123,0)</x:f>
        <x:v>0.07326007326007325</x:v>
      </x:c>
      <x:c r="O123" s="14" t="n">
        <x:v>0.7</x:v>
      </x:c>
      <x:c r="P123" s="9" t="n">
        <x:v>1</x:v>
      </x:c>
      <x:c r="Q123" s="9"/>
      <x:c r="R123" s="10" t="str">
        <x:f>IF(N123&gt;1,"Over capacity",IF(N123&gt;=0.85,"High load",IF(N123&gt;=0.5,"Normal","Low load")))</x:f>
        <x:v>Low load</x:v>
      </x:c>
    </x:row>
    <x:row r="124">
      <x:c r="A124" s="8" t="str">
        <x:v>200T单冲11#</x:v>
      </x:c>
      <x:c r="B124" s="9" t="str">
        <x:v>200 T</x:v>
      </x:c>
      <x:c r="C124" s="9" t="str">
        <x:v>泰国东海</x:v>
      </x:c>
      <x:c r="D124" s="9" t="str">
        <x:v>已量产</x:v>
      </x:c>
      <x:c r="E124" s="9" t="str">
        <x:v>PASSIVE BRACKET</x:v>
      </x:c>
      <x:c r="F124" s="9" t="str">
        <x:v>SB-042E-2</x:v>
      </x:c>
      <x:c r="G124" s="9"/>
      <x:c r="H124" s="12" t="n">
        <x:v>6000</x:v>
      </x:c>
      <x:c r="I124" s="12" t="n">
        <x:v>1800</x:v>
      </x:c>
      <x:c r="J124" s="12" t="n">
        <x:v>1</x:v>
      </x:c>
      <x:c r="K124" s="12" t="n">
        <x:f>IFERROR(I124*26*J124,0)</x:f>
        <x:v>46800</x:v>
      </x:c>
      <x:c r="L124" s="12" t="n">
        <x:f>IFERROR(H124/I124,0)</x:f>
        <x:v>3.3333333333333335</x:v>
      </x:c>
      <x:c r="M124" s="12" t="n">
        <x:f>IFERROR(26*J124,0)</x:f>
        <x:v>26</x:v>
      </x:c>
      <x:c r="N124" s="14" t="n">
        <x:f>IFERROR(L124/M124,0)</x:f>
        <x:v>0.12820512820512822</x:v>
      </x:c>
      <x:c r="O124" s="14" t="n">
        <x:v>0.6</x:v>
      </x:c>
      <x:c r="P124" s="9" t="n">
        <x:v>1</x:v>
      </x:c>
      <x:c r="Q124" s="9"/>
      <x:c r="R124" s="10" t="str">
        <x:f>IF(N124&gt;1,"Over capacity",IF(N124&gt;=0.85,"High load",IF(N124&gt;=0.5,"Normal","Low load")))</x:f>
        <x:v>Low load</x:v>
      </x:c>
    </x:row>
    <x:row r="125">
      <x:c r="A125" s="8" t="str">
        <x:v>200T单冲11#</x:v>
      </x:c>
      <x:c r="B125" s="9" t="str">
        <x:v>200 T</x:v>
      </x:c>
      <x:c r="C125" s="9" t="str">
        <x:v>泰国东海</x:v>
      </x:c>
      <x:c r="D125" s="9" t="str">
        <x:v>已量产</x:v>
      </x:c>
      <x:c r="E125" s="9" t="str">
        <x:v>BRKT SUB ASSY</x:v>
      </x:c>
      <x:c r="F125" s="9" t="str">
        <x:v>SB-104-1</x:v>
      </x:c>
      <x:c r="G125" s="9"/>
      <x:c r="H125" s="12" t="n">
        <x:v>820</x:v>
      </x:c>
      <x:c r="I125" s="12" t="n">
        <x:v>1800</x:v>
      </x:c>
      <x:c r="J125" s="12" t="n">
        <x:v>1</x:v>
      </x:c>
      <x:c r="K125" s="12" t="n">
        <x:f>IFERROR(I125*26*J125,0)</x:f>
        <x:v>46800</x:v>
      </x:c>
      <x:c r="L125" s="12" t="n">
        <x:f>IFERROR(H125/I125,0)</x:f>
        <x:v>0.45555555555555555</x:v>
      </x:c>
      <x:c r="M125" s="12" t="n">
        <x:f>IFERROR(26*J125,0)</x:f>
        <x:v>26</x:v>
      </x:c>
      <x:c r="N125" s="14" t="n">
        <x:f>IFERROR(L125/M125,0)</x:f>
        <x:v>0.01752136752136752</x:v>
      </x:c>
      <x:c r="O125" s="14" t="n">
        <x:v>0.6</x:v>
      </x:c>
      <x:c r="P125" s="9" t="n">
        <x:v>1</x:v>
      </x:c>
      <x:c r="Q125" s="9"/>
      <x:c r="R125" s="10" t="str">
        <x:f>IF(N125&gt;1,"Over capacity",IF(N125&gt;=0.85,"High load",IF(N125&gt;=0.5,"Normal","Low load")))</x:f>
        <x:v>Low load</x:v>
      </x:c>
    </x:row>
    <x:row r="126">
      <x:c r="A126" s="8" t="str">
        <x:v>200T单冲11#</x:v>
      </x:c>
      <x:c r="B126" s="9" t="str">
        <x:v>200 T</x:v>
      </x:c>
      <x:c r="C126" s="9" t="str">
        <x:v>泰国东海</x:v>
      </x:c>
      <x:c r="D126" s="9" t="str">
        <x:v>已量产</x:v>
      </x:c>
      <x:c r="E126" s="9"/>
      <x:c r="F126" s="9" t="str">
        <x:v>SB-059-1</x:v>
      </x:c>
      <x:c r="G126" s="9"/>
      <x:c r="H126" s="12" t="n">
        <x:v>10000</x:v>
      </x:c>
      <x:c r="I126" s="12" t="n">
        <x:v>1800</x:v>
      </x:c>
      <x:c r="J126" s="12" t="n">
        <x:v>1</x:v>
      </x:c>
      <x:c r="K126" s="12" t="n">
        <x:f>IFERROR(I126*26*J126,0)</x:f>
        <x:v>46800</x:v>
      </x:c>
      <x:c r="L126" s="12" t="n">
        <x:f>IFERROR(H126/I126,0)</x:f>
        <x:v>5.555555555555555</x:v>
      </x:c>
      <x:c r="M126" s="12" t="n">
        <x:f>IFERROR(26*J126,0)</x:f>
        <x:v>26</x:v>
      </x:c>
      <x:c r="N126" s="14" t="n">
        <x:f>IFERROR(L126/M126,0)</x:f>
        <x:v>0.21367521367521367</x:v>
      </x:c>
      <x:c r="O126" s="14" t="n">
        <x:v>0.6</x:v>
      </x:c>
      <x:c r="P126" s="9" t="n">
        <x:v>1</x:v>
      </x:c>
      <x:c r="Q126" s="9"/>
      <x:c r="R126" s="10" t="str">
        <x:f>IF(N126&gt;1,"Over capacity",IF(N126&gt;=0.85,"High load",IF(N126&gt;=0.5,"Normal","Low load")))</x:f>
        <x:v>Low load</x:v>
      </x:c>
    </x:row>
    <x:row r="127">
      <x:c r="A127" s="8" t="str">
        <x:v>200T单冲11#</x:v>
      </x:c>
      <x:c r="B127" s="9" t="str">
        <x:v>200 T</x:v>
      </x:c>
      <x:c r="C127" s="9" t="str">
        <x:v>泰国东海</x:v>
      </x:c>
      <x:c r="D127" s="9" t="str">
        <x:v>已量产</x:v>
      </x:c>
      <x:c r="E127" s="9"/>
      <x:c r="F127" s="9" t="str">
        <x:v>SB-092-1</x:v>
      </x:c>
      <x:c r="G127" s="9"/>
      <x:c r="H127" s="12" t="n">
        <x:v>1500</x:v>
      </x:c>
      <x:c r="I127" s="12" t="n">
        <x:v>1800</x:v>
      </x:c>
      <x:c r="J127" s="12" t="n">
        <x:v>1</x:v>
      </x:c>
      <x:c r="K127" s="12" t="n">
        <x:f>IFERROR(I127*26*J127,0)</x:f>
        <x:v>46800</x:v>
      </x:c>
      <x:c r="L127" s="12" t="n">
        <x:f>IFERROR(H127/I127,0)</x:f>
        <x:v>0.8333333333333334</x:v>
      </x:c>
      <x:c r="M127" s="12" t="n">
        <x:f>IFERROR(26*J127,0)</x:f>
        <x:v>26</x:v>
      </x:c>
      <x:c r="N127" s="14" t="n">
        <x:f>IFERROR(L127/M127,0)</x:f>
        <x:v>0.032051282051282055</x:v>
      </x:c>
      <x:c r="O127" s="14" t="n">
        <x:v>0.6</x:v>
      </x:c>
      <x:c r="P127" s="9" t="n">
        <x:v>1</x:v>
      </x:c>
      <x:c r="Q127" s="9"/>
      <x:c r="R127" s="10" t="str">
        <x:f>IF(N127&gt;1,"Over capacity",IF(N127&gt;=0.85,"High load",IF(N127&gt;=0.5,"Normal","Low load")))</x:f>
        <x:v>Low load</x:v>
      </x:c>
    </x:row>
    <x:row r="128">
      <x:c r="A128" s="8" t="str">
        <x:v>200T单冲11#</x:v>
      </x:c>
      <x:c r="B128" s="9" t="str">
        <x:v>200 T</x:v>
      </x:c>
      <x:c r="C128" s="9" t="str">
        <x:v>泰国东海</x:v>
      </x:c>
      <x:c r="D128" s="9" t="str">
        <x:v>已量产</x:v>
      </x:c>
      <x:c r="E128" s="9"/>
      <x:c r="F128" s="9" t="str">
        <x:v>SB-068-1</x:v>
      </x:c>
      <x:c r="G128" s="9"/>
      <x:c r="H128" s="12" t="n">
        <x:v>1500</x:v>
      </x:c>
      <x:c r="I128" s="12" t="n">
        <x:v>1800</x:v>
      </x:c>
      <x:c r="J128" s="12" t="n">
        <x:v>1</x:v>
      </x:c>
      <x:c r="K128" s="12" t="n">
        <x:f>IFERROR(I128*26*J128,0)</x:f>
        <x:v>46800</x:v>
      </x:c>
      <x:c r="L128" s="12" t="n">
        <x:f>IFERROR(H128/I128,0)</x:f>
        <x:v>0.8333333333333334</x:v>
      </x:c>
      <x:c r="M128" s="12" t="n">
        <x:f>IFERROR(26*J128,0)</x:f>
        <x:v>26</x:v>
      </x:c>
      <x:c r="N128" s="14" t="n">
        <x:f>IFERROR(L128/M128,0)</x:f>
        <x:v>0.032051282051282055</x:v>
      </x:c>
      <x:c r="O128" s="14" t="n">
        <x:v>0.6</x:v>
      </x:c>
      <x:c r="P128" s="9" t="n">
        <x:v>1</x:v>
      </x:c>
      <x:c r="Q128" s="9"/>
      <x:c r="R128" s="10" t="str">
        <x:f>IF(N128&gt;1,"Over capacity",IF(N128&gt;=0.85,"High load",IF(N128&gt;=0.5,"Normal","Low load")))</x:f>
        <x:v>Low load</x:v>
      </x:c>
    </x:row>
    <x:row r="129">
      <x:c r="A129" s="8" t="str">
        <x:v>200T单冲11#</x:v>
      </x:c>
      <x:c r="B129" s="9" t="str">
        <x:v>200 T</x:v>
      </x:c>
      <x:c r="C129" s="9" t="str">
        <x:v>施耐德</x:v>
      </x:c>
      <x:c r="D129" s="9" t="str">
        <x:v>已量产</x:v>
      </x:c>
      <x:c r="E129" s="9" t="str">
        <x:v>BOX</x:v>
      </x:c>
      <x:c r="F129" s="9" t="str">
        <x:v>NMS 4-6 W</x:v>
      </x:c>
      <x:c r="G129" s="9"/>
      <x:c r="H129" s="12" t="n">
        <x:v>13848</x:v>
      </x:c>
      <x:c r="I129" s="12" t="n">
        <x:v>1800</x:v>
      </x:c>
      <x:c r="J129" s="12" t="n">
        <x:v>1</x:v>
      </x:c>
      <x:c r="K129" s="12" t="n">
        <x:f>IFERROR(I129*26*J129,0)</x:f>
        <x:v>46800</x:v>
      </x:c>
      <x:c r="L129" s="12" t="n">
        <x:f>IFERROR(H129/I129,0)</x:f>
        <x:v>7.693333333333333</x:v>
      </x:c>
      <x:c r="M129" s="12" t="n">
        <x:f>IFERROR(26*J129,0)</x:f>
        <x:v>26</x:v>
      </x:c>
      <x:c r="N129" s="14" t="n">
        <x:f>IFERROR(L129/M129,0)</x:f>
        <x:v>0.2958974358974359</x:v>
      </x:c>
      <x:c r="O129" s="14" t="n">
        <x:v>0.6</x:v>
      </x:c>
      <x:c r="P129" s="9" t="n">
        <x:v>1</x:v>
      </x:c>
      <x:c r="Q129" s="9"/>
      <x:c r="R129" s="10" t="str">
        <x:f>IF(N129&gt;1,"Over capacity",IF(N129&gt;=0.85,"High load",IF(N129&gt;=0.5,"Normal","Low load")))</x:f>
        <x:v>Low load</x:v>
      </x:c>
    </x:row>
    <x:row r="130">
      <x:c r="A130" s="8" t="str">
        <x:v>200T单冲11#</x:v>
      </x:c>
      <x:c r="B130" s="9" t="str">
        <x:v>200 T</x:v>
      </x:c>
      <x:c r="C130" s="9" t="str">
        <x:v>施耐德</x:v>
      </x:c>
      <x:c r="D130" s="9" t="str">
        <x:v>已量产</x:v>
      </x:c>
      <x:c r="E130" s="9" t="str">
        <x:v>BOX</x:v>
      </x:c>
      <x:c r="F130" s="9" t="str">
        <x:v>NMS 8-10 W</x:v>
      </x:c>
      <x:c r="G130" s="9"/>
      <x:c r="H130" s="12" t="n">
        <x:v>7521</x:v>
      </x:c>
      <x:c r="I130" s="12" t="n">
        <x:v>1800</x:v>
      </x:c>
      <x:c r="J130" s="12" t="n">
        <x:v>1</x:v>
      </x:c>
      <x:c r="K130" s="12" t="n">
        <x:f>IFERROR(I130*26*J130,0)</x:f>
        <x:v>46800</x:v>
      </x:c>
      <x:c r="L130" s="12" t="n">
        <x:f>IFERROR(H130/I130,0)</x:f>
        <x:v>4.178333333333334</x:v>
      </x:c>
      <x:c r="M130" s="12" t="n">
        <x:f>IFERROR(26*J130,0)</x:f>
        <x:v>26</x:v>
      </x:c>
      <x:c r="N130" s="14" t="n">
        <x:f>IFERROR(L130/M130,0)</x:f>
        <x:v>0.16070512820512822</x:v>
      </x:c>
      <x:c r="O130" s="14" t="n">
        <x:v>0.6</x:v>
      </x:c>
      <x:c r="P130" s="9" t="n">
        <x:v>1</x:v>
      </x:c>
      <x:c r="Q130" s="9"/>
      <x:c r="R130" s="10" t="str">
        <x:f>IF(N130&gt;1,"Over capacity",IF(N130&gt;=0.85,"High load",IF(N130&gt;=0.5,"Normal","Low load")))</x:f>
        <x:v>Low load</x:v>
      </x:c>
    </x:row>
    <x:row r="131">
      <x:c r="A131" s="8" t="str">
        <x:v>200T单冲11#</x:v>
      </x:c>
      <x:c r="B131" s="9" t="str">
        <x:v>200 T</x:v>
      </x:c>
      <x:c r="C131" s="9" t="str">
        <x:v>施耐德</x:v>
      </x:c>
      <x:c r="D131" s="9" t="str">
        <x:v>已量产</x:v>
      </x:c>
      <x:c r="E131" s="9" t="str">
        <x:v>BOX</x:v>
      </x:c>
      <x:c r="F131" s="9" t="str">
        <x:v>NMS 14 W</x:v>
      </x:c>
      <x:c r="G131" s="9"/>
      <x:c r="H131" s="12" t="n">
        <x:v>2235</x:v>
      </x:c>
      <x:c r="I131" s="12" t="n">
        <x:v>1800</x:v>
      </x:c>
      <x:c r="J131" s="12" t="n">
        <x:v>1</x:v>
      </x:c>
      <x:c r="K131" s="12" t="n">
        <x:f>IFERROR(I131*26*J131,0)</x:f>
        <x:v>46800</x:v>
      </x:c>
      <x:c r="L131" s="12" t="n">
        <x:f>IFERROR(H131/I131,0)</x:f>
        <x:v>1.2416666666666667</x:v>
      </x:c>
      <x:c r="M131" s="12" t="n">
        <x:f>IFERROR(26*J131,0)</x:f>
        <x:v>26</x:v>
      </x:c>
      <x:c r="N131" s="14" t="n">
        <x:f>IFERROR(L131/M131,0)</x:f>
        <x:v>0.04775641025641026</x:v>
      </x:c>
      <x:c r="O131" s="14" t="n">
        <x:v>0.6</x:v>
      </x:c>
      <x:c r="P131" s="9" t="n">
        <x:v>1</x:v>
      </x:c>
      <x:c r="Q131" s="9"/>
      <x:c r="R131" s="10" t="str">
        <x:f>IF(N131&gt;1,"Over capacity",IF(N131&gt;=0.85,"High load",IF(N131&gt;=0.5,"Normal","Low load")))</x:f>
        <x:v>Low load</x:v>
      </x:c>
    </x:row>
    <x:row r="132">
      <x:c r="A132" s="8" t="str">
        <x:v>200T单冲11#</x:v>
      </x:c>
      <x:c r="B132" s="9" t="str">
        <x:v>200 T</x:v>
      </x:c>
      <x:c r="C132" s="9" t="str">
        <x:v>施耐德</x:v>
      </x:c>
      <x:c r="D132" s="9" t="str">
        <x:v>已量产</x:v>
      </x:c>
      <x:c r="E132" s="9" t="str">
        <x:v>COVER</x:v>
      </x:c>
      <x:c r="F132" s="9" t="str">
        <x:v>NMS 4 W</x:v>
      </x:c>
      <x:c r="G132" s="9"/>
      <x:c r="H132" s="12" t="n">
        <x:v>2288</x:v>
      </x:c>
      <x:c r="I132" s="12" t="n">
        <x:v>1800</x:v>
      </x:c>
      <x:c r="J132" s="12" t="n">
        <x:v>1</x:v>
      </x:c>
      <x:c r="K132" s="12" t="n">
        <x:f>IFERROR(I132*26*J132,0)</x:f>
        <x:v>46800</x:v>
      </x:c>
      <x:c r="L132" s="12" t="n">
        <x:f>IFERROR(H132/I132,0)</x:f>
        <x:v>1.271111111111111</x:v>
      </x:c>
      <x:c r="M132" s="12" t="n">
        <x:f>IFERROR(26*J132,0)</x:f>
        <x:v>26</x:v>
      </x:c>
      <x:c r="N132" s="14" t="n">
        <x:f>IFERROR(L132/M132,0)</x:f>
        <x:v>0.048888888888888885</x:v>
      </x:c>
      <x:c r="O132" s="14" t="n">
        <x:v>0.6</x:v>
      </x:c>
      <x:c r="P132" s="9" t="n">
        <x:v>1</x:v>
      </x:c>
      <x:c r="Q132" s="9"/>
      <x:c r="R132" s="10" t="str">
        <x:f>IF(N132&gt;1,"Over capacity",IF(N132&gt;=0.85,"High load",IF(N132&gt;=0.5,"Normal","Low load")))</x:f>
        <x:v>Low load</x:v>
      </x:c>
    </x:row>
    <x:row r="133">
      <x:c r="A133" s="8" t="str">
        <x:v>200T单冲11#</x:v>
      </x:c>
      <x:c r="B133" s="9" t="str">
        <x:v>200 T</x:v>
      </x:c>
      <x:c r="C133" s="9" t="str">
        <x:v>施耐德</x:v>
      </x:c>
      <x:c r="D133" s="9" t="str">
        <x:v>已量产</x:v>
      </x:c>
      <x:c r="E133" s="9" t="str">
        <x:v>COVER</x:v>
      </x:c>
      <x:c r="F133" s="9" t="str">
        <x:v>NMS 6 W</x:v>
      </x:c>
      <x:c r="G133" s="9"/>
      <x:c r="H133" s="12" t="n">
        <x:v>2337</x:v>
      </x:c>
      <x:c r="I133" s="12" t="n">
        <x:v>1800</x:v>
      </x:c>
      <x:c r="J133" s="12" t="n">
        <x:v>1</x:v>
      </x:c>
      <x:c r="K133" s="12" t="n">
        <x:f>IFERROR(I133*26*J133,0)</x:f>
        <x:v>46800</x:v>
      </x:c>
      <x:c r="L133" s="12" t="n">
        <x:f>IFERROR(H133/I133,0)</x:f>
        <x:v>1.2983333333333333</x:v>
      </x:c>
      <x:c r="M133" s="12" t="n">
        <x:f>IFERROR(26*J133,0)</x:f>
        <x:v>26</x:v>
      </x:c>
      <x:c r="N133" s="14" t="n">
        <x:f>IFERROR(L133/M133,0)</x:f>
        <x:v>0.049935897435897436</x:v>
      </x:c>
      <x:c r="O133" s="14" t="n">
        <x:v>0.6</x:v>
      </x:c>
      <x:c r="P133" s="9" t="n">
        <x:v>1</x:v>
      </x:c>
      <x:c r="Q133" s="9"/>
      <x:c r="R133" s="10" t="str">
        <x:f>IF(N133&gt;1,"Over capacity",IF(N133&gt;=0.85,"High load",IF(N133&gt;=0.5,"Normal","Low load")))</x:f>
        <x:v>Low load</x:v>
      </x:c>
    </x:row>
    <x:row r="134">
      <x:c r="A134" s="8" t="str">
        <x:v>200T单冲11#</x:v>
      </x:c>
      <x:c r="B134" s="9" t="str">
        <x:v>200 T</x:v>
      </x:c>
      <x:c r="C134" s="9" t="str">
        <x:v>施耐德</x:v>
      </x:c>
      <x:c r="D134" s="9" t="str">
        <x:v>已量产</x:v>
      </x:c>
      <x:c r="E134" s="9" t="str">
        <x:v>COVER</x:v>
      </x:c>
      <x:c r="F134" s="9" t="str">
        <x:v>NMS 8W</x:v>
      </x:c>
      <x:c r="G134" s="9"/>
      <x:c r="H134" s="12" t="n">
        <x:v>1203</x:v>
      </x:c>
      <x:c r="I134" s="12" t="n">
        <x:v>1800</x:v>
      </x:c>
      <x:c r="J134" s="12" t="n">
        <x:v>1</x:v>
      </x:c>
      <x:c r="K134" s="12" t="n">
        <x:f>IFERROR(I134*26*J134,0)</x:f>
        <x:v>46800</x:v>
      </x:c>
      <x:c r="L134" s="12" t="n">
        <x:f>IFERROR(H134/I134,0)</x:f>
        <x:v>0.6683333333333333</x:v>
      </x:c>
      <x:c r="M134" s="12" t="n">
        <x:f>IFERROR(26*J134,0)</x:f>
        <x:v>26</x:v>
      </x:c>
      <x:c r="N134" s="14" t="n">
        <x:f>IFERROR(L134/M134,0)</x:f>
        <x:v>0.025705128205128207</x:v>
      </x:c>
      <x:c r="O134" s="14" t="n">
        <x:v>0.6</x:v>
      </x:c>
      <x:c r="P134" s="9" t="n">
        <x:v>1</x:v>
      </x:c>
      <x:c r="Q134" s="9"/>
      <x:c r="R134" s="10" t="str">
        <x:f>IF(N134&gt;1,"Over capacity",IF(N134&gt;=0.85,"High load",IF(N134&gt;=0.5,"Normal","Low load")))</x:f>
        <x:v>Low load</x:v>
      </x:c>
    </x:row>
    <x:row r="135">
      <x:c r="A135" s="8" t="str">
        <x:v>200T单冲11#</x:v>
      </x:c>
      <x:c r="B135" s="9" t="str">
        <x:v>200 T</x:v>
      </x:c>
      <x:c r="C135" s="9" t="str">
        <x:v>施耐德</x:v>
      </x:c>
      <x:c r="D135" s="9" t="str">
        <x:v>已量产</x:v>
      </x:c>
      <x:c r="E135" s="9" t="str">
        <x:v>COVER</x:v>
      </x:c>
      <x:c r="F135" s="9" t="str">
        <x:v>NMS 10 W</x:v>
      </x:c>
      <x:c r="G135" s="9"/>
      <x:c r="H135" s="12" t="n">
        <x:v>1303.7</x:v>
      </x:c>
      <x:c r="I135" s="12" t="n">
        <x:v>1800</x:v>
      </x:c>
      <x:c r="J135" s="12" t="n">
        <x:v>1</x:v>
      </x:c>
      <x:c r="K135" s="12" t="n">
        <x:f>IFERROR(I135*26*J135,0)</x:f>
        <x:v>46800</x:v>
      </x:c>
      <x:c r="L135" s="12" t="n">
        <x:f>IFERROR(H135/I135,0)</x:f>
        <x:v>0.7242777777777778</x:v>
      </x:c>
      <x:c r="M135" s="12" t="n">
        <x:f>IFERROR(26*J135,0)</x:f>
        <x:v>26</x:v>
      </x:c>
      <x:c r="N135" s="14" t="n">
        <x:f>IFERROR(L135/M135,0)</x:f>
        <x:v>0.027856837606837607</x:v>
      </x:c>
      <x:c r="O135" s="14" t="n">
        <x:v>0.6</x:v>
      </x:c>
      <x:c r="P135" s="9" t="n">
        <x:v>1</x:v>
      </x:c>
      <x:c r="Q135" s="9"/>
      <x:c r="R135" s="10" t="str">
        <x:f>IF(N135&gt;1,"Over capacity",IF(N135&gt;=0.85,"High load",IF(N135&gt;=0.5,"Normal","Low load")))</x:f>
        <x:v>Low load</x:v>
      </x:c>
    </x:row>
    <x:row r="136">
      <x:c r="A136" s="8" t="str">
        <x:v>200T单冲11#</x:v>
      </x:c>
      <x:c r="B136" s="9" t="str">
        <x:v>200 T</x:v>
      </x:c>
      <x:c r="C136" s="9" t="str">
        <x:v>施耐德</x:v>
      </x:c>
      <x:c r="D136" s="9" t="str">
        <x:v>已量产</x:v>
      </x:c>
      <x:c r="E136" s="9" t="str">
        <x:v>COVER</x:v>
      </x:c>
      <x:c r="F136" s="9" t="str">
        <x:v>NMS 14 W</x:v>
      </x:c>
      <x:c r="G136" s="9"/>
      <x:c r="H136" s="12" t="n">
        <x:v>744.81</x:v>
      </x:c>
      <x:c r="I136" s="12" t="n">
        <x:v>1800</x:v>
      </x:c>
      <x:c r="J136" s="12" t="n">
        <x:v>1</x:v>
      </x:c>
      <x:c r="K136" s="12" t="n">
        <x:f>IFERROR(I136*26*J136,0)</x:f>
        <x:v>46800</x:v>
      </x:c>
      <x:c r="L136" s="12" t="n">
        <x:f>IFERROR(H136/I136,0)</x:f>
        <x:v>0.4137833333333333</x:v>
      </x:c>
      <x:c r="M136" s="12" t="n">
        <x:f>IFERROR(26*J136,0)</x:f>
        <x:v>26</x:v>
      </x:c>
      <x:c r="N136" s="14" t="n">
        <x:f>IFERROR(L136/M136,0)</x:f>
        <x:v>0.01591474358974359</x:v>
      </x:c>
      <x:c r="O136" s="14" t="n">
        <x:v>0.6</x:v>
      </x:c>
      <x:c r="P136" s="9" t="n">
        <x:v>1</x:v>
      </x:c>
      <x:c r="Q136" s="9"/>
      <x:c r="R136" s="10" t="str">
        <x:f>IF(N136&gt;1,"Over capacity",IF(N136&gt;=0.85,"High load",IF(N136&gt;=0.5,"Normal","Low load")))</x:f>
        <x:v>Low load</x:v>
      </x:c>
    </x:row>
    <x:row r="137">
      <x:c r="A137" s="8" t="str">
        <x:v>200T单冲11#</x:v>
      </x:c>
      <x:c r="B137" s="9" t="str">
        <x:v>200 T</x:v>
      </x:c>
      <x:c r="C137" s="9" t="str">
        <x:v>施耐德</x:v>
      </x:c>
      <x:c r="D137" s="9" t="str">
        <x:v>已量产</x:v>
      </x:c>
      <x:c r="E137" s="9" t="str">
        <x:v>PDB (DBF 45)</x:v>
      </x:c>
      <x:c r="F137" s="9"/>
      <x:c r="G137" s="9"/>
      <x:c r="H137" s="12" t="n">
        <x:v>400</x:v>
      </x:c>
      <x:c r="I137" s="12" t="n">
        <x:v>1920</x:v>
      </x:c>
      <x:c r="J137" s="12" t="n">
        <x:v>1</x:v>
      </x:c>
      <x:c r="K137" s="12" t="n">
        <x:f>IFERROR(I137*26*J137,0)</x:f>
        <x:v>49920</x:v>
      </x:c>
      <x:c r="L137" s="12" t="n">
        <x:f>IFERROR(H137/I137,0)</x:f>
        <x:v>0.20833333333333334</x:v>
      </x:c>
      <x:c r="M137" s="12" t="n">
        <x:f>IFERROR(26*J137,0)</x:f>
        <x:v>26</x:v>
      </x:c>
      <x:c r="N137" s="14" t="n">
        <x:f>IFERROR(L137/M137,0)</x:f>
        <x:v>0.008012820512820514</x:v>
      </x:c>
      <x:c r="O137" s="14" t="n">
        <x:v>1.6</x:v>
      </x:c>
      <x:c r="P137" s="9" t="n">
        <x:v>1</x:v>
      </x:c>
      <x:c r="Q137" s="9"/>
      <x:c r="R137" s="10" t="str">
        <x:f>IF(N137&gt;1,"Over capacity",IF(N137&gt;=0.85,"High load",IF(N137&gt;=0.5,"Normal","Low load")))</x:f>
        <x:v>Low load</x:v>
      </x:c>
    </x:row>
    <x:row r="138">
      <x:c r="A138" s="8" t="str">
        <x:v>200T单冲11#</x:v>
      </x:c>
      <x:c r="B138" s="9" t="str">
        <x:v>200 T</x:v>
      </x:c>
      <x:c r="C138" s="9" t="str">
        <x:v>施耐德</x:v>
      </x:c>
      <x:c r="D138" s="9" t="str">
        <x:v>已量产</x:v>
      </x:c>
      <x:c r="E138" s="9" t="str">
        <x:v>PDB (DBF 60)</x:v>
      </x:c>
      <x:c r="F138" s="9"/>
      <x:c r="G138" s="9"/>
      <x:c r="H138" s="12" t="n">
        <x:v>400</x:v>
      </x:c>
      <x:c r="I138" s="12" t="n">
        <x:v>3120</x:v>
      </x:c>
      <x:c r="J138" s="12" t="n">
        <x:v>1</x:v>
      </x:c>
      <x:c r="K138" s="12" t="n">
        <x:f>IFERROR(I138*26*J138,0)</x:f>
        <x:v>81120</x:v>
      </x:c>
      <x:c r="L138" s="12" t="n">
        <x:f>IFERROR(H138/I138,0)</x:f>
        <x:v>0.1282051282051282</x:v>
      </x:c>
      <x:c r="M138" s="12" t="n">
        <x:f>IFERROR(26*J138,0)</x:f>
        <x:v>26</x:v>
      </x:c>
      <x:c r="N138" s="14" t="n">
        <x:f>IFERROR(L138/M138,0)</x:f>
        <x:v>0.004930966469428007</x:v>
      </x:c>
      <x:c r="O138" s="14" t="n">
        <x:v>2.6</x:v>
      </x:c>
      <x:c r="P138" s="9" t="n">
        <x:v>1</x:v>
      </x:c>
      <x:c r="Q138" s="9"/>
      <x:c r="R138" s="10" t="str">
        <x:f>IF(N138&gt;1,"Over capacity",IF(N138&gt;=0.85,"High load",IF(N138&gt;=0.5,"Normal","Low load")))</x:f>
        <x:v>Low load</x:v>
      </x:c>
    </x:row>
    <x:row r="139">
      <x:c r="A139" s="8" t="str">
        <x:v>200T单冲11#</x:v>
      </x:c>
      <x:c r="B139" s="9" t="str">
        <x:v>200 T</x:v>
      </x:c>
      <x:c r="C139" s="9"/>
      <x:c r="D139" s="9"/>
      <x:c r="E139" s="9" t="str">
        <x:v>DBS 30</x:v>
      </x:c>
      <x:c r="F139" s="9"/>
      <x:c r="G139" s="9"/>
      <x:c r="H139" s="12" t="n">
        <x:v>400</x:v>
      </x:c>
      <x:c r="I139" s="12" t="n">
        <x:v>4320</x:v>
      </x:c>
      <x:c r="J139" s="12" t="n">
        <x:v>1</x:v>
      </x:c>
      <x:c r="K139" s="12" t="n">
        <x:f>IFERROR(I139*26*J139,0)</x:f>
        <x:v>112320</x:v>
      </x:c>
      <x:c r="L139" s="12" t="n">
        <x:f>IFERROR(H139/I139,0)</x:f>
        <x:v>0.09259259259259259</x:v>
      </x:c>
      <x:c r="M139" s="12" t="n">
        <x:f>IFERROR(26*J139,0)</x:f>
        <x:v>26</x:v>
      </x:c>
      <x:c r="N139" s="14" t="n">
        <x:f>IFERROR(L139/M139,0)</x:f>
        <x:v>0.003561253561253561</x:v>
      </x:c>
      <x:c r="O139" s="14" t="n">
        <x:v>3.6</x:v>
      </x:c>
      <x:c r="P139" s="9" t="n">
        <x:v>1</x:v>
      </x:c>
      <x:c r="Q139" s="9"/>
      <x:c r="R139" s="10" t="str">
        <x:f>IF(N139&gt;1,"Over capacity",IF(N139&gt;=0.85,"High load",IF(N139&gt;=0.5,"Normal","Low load")))</x:f>
        <x:v>Low load</x:v>
      </x:c>
    </x:row>
    <x:row r="140">
      <x:c r="A140" s="8" t="str">
        <x:v>200T单冲11#</x:v>
      </x:c>
      <x:c r="B140" s="9" t="str">
        <x:v>200 T</x:v>
      </x:c>
      <x:c r="C140" s="9"/>
      <x:c r="D140" s="9"/>
      <x:c r="E140" s="9" t="str">
        <x:v>DBS 45</x:v>
      </x:c>
      <x:c r="F140" s="9"/>
      <x:c r="G140" s="9"/>
      <x:c r="H140" s="12" t="n">
        <x:v>400</x:v>
      </x:c>
      <x:c r="I140" s="12" t="n">
        <x:v>5520</x:v>
      </x:c>
      <x:c r="J140" s="12" t="n">
        <x:v>1</x:v>
      </x:c>
      <x:c r="K140" s="12" t="n">
        <x:f>IFERROR(I140*26*J140,0)</x:f>
        <x:v>143520</x:v>
      </x:c>
      <x:c r="L140" s="12" t="n">
        <x:f>IFERROR(H140/I140,0)</x:f>
        <x:v>0.07246376811594203</x:v>
      </x:c>
      <x:c r="M140" s="12" t="n">
        <x:f>IFERROR(26*J140,0)</x:f>
        <x:v>26</x:v>
      </x:c>
      <x:c r="N140" s="14" t="n">
        <x:f>IFERROR(L140/M140,0)</x:f>
        <x:v>0.002787068004459309</x:v>
      </x:c>
      <x:c r="O140" s="14" t="n">
        <x:v>4.6</x:v>
      </x:c>
      <x:c r="P140" s="9" t="n">
        <x:v>1</x:v>
      </x:c>
      <x:c r="Q140" s="9"/>
      <x:c r="R140" s="10" t="str">
        <x:f>IF(N140&gt;1,"Over capacity",IF(N140&gt;=0.85,"High load",IF(N140&gt;=0.5,"Normal","Low load")))</x:f>
        <x:v>Low load</x:v>
      </x:c>
    </x:row>
    <x:row r="141">
      <x:c r="A141" s="8" t="str">
        <x:v>200T单冲11#</x:v>
      </x:c>
      <x:c r="B141" s="9" t="str">
        <x:v>200 T</x:v>
      </x:c>
      <x:c r="C141" s="9"/>
      <x:c r="D141" s="9"/>
      <x:c r="E141" s="9" t="str">
        <x:v>DBS 60</x:v>
      </x:c>
      <x:c r="F141" s="9"/>
      <x:c r="G141" s="9"/>
      <x:c r="H141" s="12" t="n">
        <x:v>400</x:v>
      </x:c>
      <x:c r="I141" s="12" t="n">
        <x:v>6720</x:v>
      </x:c>
      <x:c r="J141" s="12" t="n">
        <x:v>1</x:v>
      </x:c>
      <x:c r="K141" s="12" t="n">
        <x:f>IFERROR(I141*26*J141,0)</x:f>
        <x:v>174720</x:v>
      </x:c>
      <x:c r="L141" s="12" t="n">
        <x:f>IFERROR(H141/I141,0)</x:f>
        <x:v>0.05952380952380952</x:v>
      </x:c>
      <x:c r="M141" s="12" t="n">
        <x:f>IFERROR(26*J141,0)</x:f>
        <x:v>26</x:v>
      </x:c>
      <x:c r="N141" s="14" t="n">
        <x:f>IFERROR(L141/M141,0)</x:f>
        <x:v>0.002289377289377289</x:v>
      </x:c>
      <x:c r="O141" s="14" t="n">
        <x:v>5.6</x:v>
      </x:c>
      <x:c r="P141" s="9" t="n">
        <x:v>1</x:v>
      </x:c>
      <x:c r="Q141" s="9"/>
      <x:c r="R141" s="10" t="str">
        <x:f>IF(N141&gt;1,"Over capacity",IF(N141&gt;=0.85,"High load",IF(N141&gt;=0.5,"Normal","Low load")))</x:f>
        <x:v>Low load</x:v>
      </x:c>
    </x:row>
    <x:row r="142">
      <x:c r="A142" s="8" t="str">
        <x:v>200T单冲11#</x:v>
      </x:c>
      <x:c r="B142" s="9" t="str">
        <x:v>200 T</x:v>
      </x:c>
      <x:c r="C142" s="9"/>
      <x:c r="D142" s="9"/>
      <x:c r="E142" s="9" t="str">
        <x:v>LC600 COVER 3 Type</x:v>
      </x:c>
      <x:c r="F142" s="9"/>
      <x:c r="G142" s="9"/>
      <x:c r="H142" s="12" t="n">
        <x:v>6000</x:v>
      </x:c>
      <x:c r="I142" s="12" t="n">
        <x:v>720</x:v>
      </x:c>
      <x:c r="J142" s="12" t="n">
        <x:v>1</x:v>
      </x:c>
      <x:c r="K142" s="12" t="n">
        <x:f>IFERROR(I142*26*J142,0)</x:f>
        <x:v>18720</x:v>
      </x:c>
      <x:c r="L142" s="12" t="n">
        <x:f>IFERROR(H142/I142,0)</x:f>
        <x:v>8.333333333333334</x:v>
      </x:c>
      <x:c r="M142" s="12" t="n">
        <x:f>IFERROR(26*J142,0)</x:f>
        <x:v>26</x:v>
      </x:c>
      <x:c r="N142" s="14" t="n">
        <x:f>IFERROR(L142/M142,0)</x:f>
        <x:v>0.32051282051282054</x:v>
      </x:c>
      <x:c r="O142" s="14" t="n">
        <x:v>0.6</x:v>
      </x:c>
      <x:c r="P142" s="9" t="n">
        <x:v>1</x:v>
      </x:c>
      <x:c r="Q142" s="9"/>
      <x:c r="R142" s="10" t="str">
        <x:f>IF(N142&gt;1,"Over capacity",IF(N142&gt;=0.85,"High load",IF(N142&gt;=0.5,"Normal","Low load")))</x:f>
        <x:v>Low load</x:v>
      </x:c>
    </x:row>
    <x:row r="143">
      <x:c r="A143" s="8" t="str">
        <x:v>200T单冲11#</x:v>
      </x:c>
      <x:c r="B143" s="9" t="str">
        <x:v>200 T</x:v>
      </x:c>
      <x:c r="C143" s="9"/>
      <x:c r="D143" s="9"/>
      <x:c r="E143" s="9" t="str">
        <x:v>LC600 DOOR</x:v>
      </x:c>
      <x:c r="F143" s="9"/>
      <x:c r="G143" s="9"/>
      <x:c r="H143" s="12" t="n">
        <x:v>6000</x:v>
      </x:c>
      <x:c r="I143" s="12" t="n">
        <x:v>720</x:v>
      </x:c>
      <x:c r="J143" s="12" t="n">
        <x:v>1</x:v>
      </x:c>
      <x:c r="K143" s="12" t="n">
        <x:f>IFERROR(I143*26*J143,0)</x:f>
        <x:v>18720</x:v>
      </x:c>
      <x:c r="L143" s="12" t="n">
        <x:f>IFERROR(H143/I143,0)</x:f>
        <x:v>8.333333333333334</x:v>
      </x:c>
      <x:c r="M143" s="12" t="n">
        <x:f>IFERROR(26*J143,0)</x:f>
        <x:v>26</x:v>
      </x:c>
      <x:c r="N143" s="14" t="n">
        <x:f>IFERROR(L143/M143,0)</x:f>
        <x:v>0.32051282051282054</x:v>
      </x:c>
      <x:c r="O143" s="14" t="n">
        <x:v>0.6</x:v>
      </x:c>
      <x:c r="P143" s="9" t="n">
        <x:v>1</x:v>
      </x:c>
      <x:c r="Q143" s="9"/>
      <x:c r="R143" s="10" t="str">
        <x:f>IF(N143&gt;1,"Over capacity",IF(N143&gt;=0.85,"High load",IF(N143&gt;=0.5,"Normal","Low load")))</x:f>
        <x:v>Low load</x:v>
      </x:c>
    </x:row>
    <x:row r="144">
      <x:c r="A144" s="8" t="str">
        <x:v>200T单冲11#</x:v>
      </x:c>
      <x:c r="B144" s="9" t="str">
        <x:v>200 T</x:v>
      </x:c>
      <x:c r="C144" s="9"/>
      <x:c r="D144" s="9"/>
      <x:c r="E144" s="9" t="str">
        <x:v>CU COVER TRIMING</x:v>
      </x:c>
      <x:c r="F144" s="9"/>
      <x:c r="G144" s="9"/>
      <x:c r="H144" s="12" t="n">
        <x:v>9000</x:v>
      </x:c>
      <x:c r="I144" s="12" t="n">
        <x:v>720</x:v>
      </x:c>
      <x:c r="J144" s="12" t="n">
        <x:v>1</x:v>
      </x:c>
      <x:c r="K144" s="12" t="n">
        <x:f>IFERROR(I144*26*J144,0)</x:f>
        <x:v>18720</x:v>
      </x:c>
      <x:c r="L144" s="12" t="n">
        <x:f>IFERROR(H144/I144,0)</x:f>
        <x:v>12.5</x:v>
      </x:c>
      <x:c r="M144" s="12" t="n">
        <x:f>IFERROR(26*J144,0)</x:f>
        <x:v>26</x:v>
      </x:c>
      <x:c r="N144" s="14" t="n">
        <x:f>IFERROR(L144/M144,0)</x:f>
        <x:v>0.4807692307692308</x:v>
      </x:c>
      <x:c r="O144" s="14" t="n">
        <x:v>0.6</x:v>
      </x:c>
      <x:c r="P144" s="9" t="n">
        <x:v>1</x:v>
      </x:c>
      <x:c r="Q144" s="9"/>
      <x:c r="R144" s="10" t="str">
        <x:f>IF(N144&gt;1,"Over capacity",IF(N144&gt;=0.85,"High load",IF(N144&gt;=0.5,"Normal","Low load")))</x:f>
        <x:v>Low load</x:v>
      </x:c>
    </x:row>
    <x:row r="145">
      <x:c r="A145" s="8" t="str">
        <x:v>200T单冲11#</x:v>
      </x:c>
      <x:c r="B145" s="9" t="str">
        <x:v>200 T</x:v>
      </x:c>
      <x:c r="C145" s="9"/>
      <x:c r="D145" s="9"/>
      <x:c r="E145" s="9" t="str">
        <x:v>NLC GRAND PLATE</x:v>
      </x:c>
      <x:c r="F145" s="9"/>
      <x:c r="G145" s="9"/>
      <x:c r="H145" s="12" t="n">
        <x:v>18000</x:v>
      </x:c>
      <x:c r="I145" s="12" t="n">
        <x:v>1440</x:v>
      </x:c>
      <x:c r="J145" s="12" t="n">
        <x:v>1</x:v>
      </x:c>
      <x:c r="K145" s="12" t="n">
        <x:f>IFERROR(I145*26*J145,0)</x:f>
        <x:v>37440</x:v>
      </x:c>
      <x:c r="L145" s="12" t="n">
        <x:f>IFERROR(H145/I145,0)</x:f>
        <x:v>12.5</x:v>
      </x:c>
      <x:c r="M145" s="12" t="n">
        <x:f>IFERROR(26*J145,0)</x:f>
        <x:v>26</x:v>
      </x:c>
      <x:c r="N145" s="14" t="n">
        <x:f>IFERROR(L145/M145,0)</x:f>
        <x:v>0.4807692307692308</x:v>
      </x:c>
      <x:c r="O145" s="14" t="n">
        <x:v>0.6</x:v>
      </x:c>
      <x:c r="P145" s="9" t="n">
        <x:v>1</x:v>
      </x:c>
      <x:c r="Q145" s="9"/>
      <x:c r="R145" s="10" t="str">
        <x:f>IF(N145&gt;1,"Over capacity",IF(N145&gt;=0.85,"High load",IF(N145&gt;=0.5,"Normal","Low load")))</x:f>
        <x:v>Low load</x:v>
      </x:c>
    </x:row>
    <x:row r="146">
      <x:c r="A146" s="8" t="str">
        <x:v>260T 单冲 10#</x:v>
      </x:c>
      <x:c r="B146" s="9" t="str">
        <x:v>设备 260T</x:v>
      </x:c>
      <x:c r="C146" s="9" t="str">
        <x:v>泰国东海</x:v>
      </x:c>
      <x:c r="D146" s="9" t="str">
        <x:v>已量产</x:v>
      </x:c>
      <x:c r="E146" s="9" t="str">
        <x:v>ACTIVE BRACKET</x:v>
      </x:c>
      <x:c r="F146" s="9" t="str">
        <x:v>SB-092B-1-1</x:v>
      </x:c>
      <x:c r="G146" s="9"/>
      <x:c r="H146" s="12" t="n">
        <x:v>1500</x:v>
      </x:c>
      <x:c r="I146" s="12" t="n">
        <x:v>2040</x:v>
      </x:c>
      <x:c r="J146" s="12" t="n">
        <x:v>1</x:v>
      </x:c>
      <x:c r="K146" s="12" t="n">
        <x:f>IFERROR(I146*26*J146,0)</x:f>
        <x:v>53040</x:v>
      </x:c>
      <x:c r="L146" s="12" t="n">
        <x:f>IFERROR(H146/I146,0)</x:f>
        <x:v>0.7352941176470589</x:v>
      </x:c>
      <x:c r="M146" s="12" t="n">
        <x:f>IFERROR(26*J146,0)</x:f>
        <x:v>26</x:v>
      </x:c>
      <x:c r="N146" s="14" t="n">
        <x:f>IFERROR(L146/M146,0)</x:f>
        <x:v>0.028280542986425343</x:v>
      </x:c>
      <x:c r="O146" s="14" t="n">
        <x:v>0.85</x:v>
      </x:c>
      <x:c r="P146" s="9" t="n">
        <x:v>1</x:v>
      </x:c>
      <x:c r="Q146" s="9"/>
      <x:c r="R146" s="10" t="str">
        <x:f>IF(N146&gt;1,"Over capacity",IF(N146&gt;=0.85,"High load",IF(N146&gt;=0.5,"Normal","Low load")))</x:f>
        <x:v>Low load</x:v>
      </x:c>
    </x:row>
    <x:row r="147">
      <x:c r="A147" s="8" t="str">
        <x:v>260T 单冲 10#</x:v>
      </x:c>
      <x:c r="B147" s="9" t="str">
        <x:v>设备 260T</x:v>
      </x:c>
      <x:c r="C147" s="9" t="str">
        <x:v>泰国东海</x:v>
      </x:c>
      <x:c r="D147" s="9" t="str">
        <x:v>已量产</x:v>
      </x:c>
      <x:c r="E147" s="9" t="str">
        <x:v>ACTIVE BRACKET</x:v>
      </x:c>
      <x:c r="F147" s="9" t="str">
        <x:v>SB-068A-1-1</x:v>
      </x:c>
      <x:c r="G147" s="9"/>
      <x:c r="H147" s="12" t="n">
        <x:v>1500</x:v>
      </x:c>
      <x:c r="I147" s="12" t="n">
        <x:v>2040</x:v>
      </x:c>
      <x:c r="J147" s="12" t="n">
        <x:v>1</x:v>
      </x:c>
      <x:c r="K147" s="12" t="n">
        <x:f>IFERROR(I147*26*J147,0)</x:f>
        <x:v>53040</x:v>
      </x:c>
      <x:c r="L147" s="12" t="n">
        <x:f>IFERROR(H147/I147,0)</x:f>
        <x:v>0.7352941176470589</x:v>
      </x:c>
      <x:c r="M147" s="12" t="n">
        <x:f>IFERROR(26*J147,0)</x:f>
        <x:v>26</x:v>
      </x:c>
      <x:c r="N147" s="14" t="n">
        <x:f>IFERROR(L147/M147,0)</x:f>
        <x:v>0.028280542986425343</x:v>
      </x:c>
      <x:c r="O147" s="14" t="n">
        <x:v>0.85</x:v>
      </x:c>
      <x:c r="P147" s="9" t="n">
        <x:v>1</x:v>
      </x:c>
      <x:c r="Q147" s="9"/>
      <x:c r="R147" s="10" t="str">
        <x:f>IF(N147&gt;1,"Over capacity",IF(N147&gt;=0.85,"High load",IF(N147&gt;=0.5,"Normal","Low load")))</x:f>
        <x:v>Low load</x:v>
      </x:c>
    </x:row>
    <x:row r="148">
      <x:c r="A148" s="8" t="str">
        <x:v>260T 单冲 10#</x:v>
      </x:c>
      <x:c r="B148" s="9" t="str">
        <x:v>设备 260T</x:v>
      </x:c>
      <x:c r="C148" s="9" t="str">
        <x:v>施耐德</x:v>
      </x:c>
      <x:c r="D148" s="9"/>
      <x:c r="E148" s="9" t="str">
        <x:v>Matal Box 14WAY</x:v>
      </x:c>
      <x:c r="F148" s="9" t="str">
        <x:v>NMS</x:v>
      </x:c>
      <x:c r="G148" s="9"/>
      <x:c r="H148" s="12" t="n">
        <x:v>2288</x:v>
      </x:c>
      <x:c r="I148" s="12" t="n">
        <x:v>2040</x:v>
      </x:c>
      <x:c r="J148" s="12" t="n">
        <x:v>1</x:v>
      </x:c>
      <x:c r="K148" s="12" t="n">
        <x:f>IFERROR(I148*26*J148,0)</x:f>
        <x:v>53040</x:v>
      </x:c>
      <x:c r="L148" s="12" t="n">
        <x:f>IFERROR(H148/I148,0)</x:f>
        <x:v>1.1215686274509804</x:v>
      </x:c>
      <x:c r="M148" s="12" t="n">
        <x:f>IFERROR(26*J148,0)</x:f>
        <x:v>26</x:v>
      </x:c>
      <x:c r="N148" s="14" t="n">
        <x:f>IFERROR(L148/M148,0)</x:f>
        <x:v>0.043137254901960784</x:v>
      </x:c>
      <x:c r="O148" s="14" t="n">
        <x:v>0.85</x:v>
      </x:c>
      <x:c r="P148" s="9" t="n">
        <x:v>1</x:v>
      </x:c>
      <x:c r="Q148" s="9"/>
      <x:c r="R148" s="10" t="str">
        <x:f>IF(N148&gt;1,"Over capacity",IF(N148&gt;=0.85,"High load",IF(N148&gt;=0.5,"Normal","Low load")))</x:f>
        <x:v>Low load</x:v>
      </x:c>
    </x:row>
    <x:row r="149">
      <x:c r="A149" s="8" t="str">
        <x:v>260T 单冲 10#</x:v>
      </x:c>
      <x:c r="B149" s="9" t="str">
        <x:v>设备 260T</x:v>
      </x:c>
      <x:c r="C149" s="9" t="str">
        <x:v>施耐德</x:v>
      </x:c>
      <x:c r="D149" s="9"/>
      <x:c r="E149" s="9" t="str">
        <x:v>Matal Box 6 WAY</x:v>
      </x:c>
      <x:c r="F149" s="9" t="str">
        <x:v>NMS</x:v>
      </x:c>
      <x:c r="G149" s="9"/>
      <x:c r="H149" s="12" t="n">
        <x:v>2337</x:v>
      </x:c>
      <x:c r="I149" s="12" t="n">
        <x:v>2040</x:v>
      </x:c>
      <x:c r="J149" s="12" t="n">
        <x:v>1</x:v>
      </x:c>
      <x:c r="K149" s="12" t="n">
        <x:f>IFERROR(I149*26*J149,0)</x:f>
        <x:v>53040</x:v>
      </x:c>
      <x:c r="L149" s="12" t="n">
        <x:f>IFERROR(H149/I149,0)</x:f>
        <x:v>1.1455882352941176</x:v>
      </x:c>
      <x:c r="M149" s="12" t="n">
        <x:f>IFERROR(26*J149,0)</x:f>
        <x:v>26</x:v>
      </x:c>
      <x:c r="N149" s="14" t="n">
        <x:f>IFERROR(L149/M149,0)</x:f>
        <x:v>0.044061085972850675</x:v>
      </x:c>
      <x:c r="O149" s="14" t="n">
        <x:v>0.85</x:v>
      </x:c>
      <x:c r="P149" s="9" t="n">
        <x:v>1</x:v>
      </x:c>
      <x:c r="Q149" s="9"/>
      <x:c r="R149" s="10" t="str">
        <x:f>IF(N149&gt;1,"Over capacity",IF(N149&gt;=0.85,"High load",IF(N149&gt;=0.5,"Normal","Low load")))</x:f>
        <x:v>Low load</x:v>
      </x:c>
    </x:row>
    <x:row r="150">
      <x:c r="A150" s="8" t="str">
        <x:v>260T 单冲 10#</x:v>
      </x:c>
      <x:c r="B150" s="9" t="str">
        <x:v>设备 260T</x:v>
      </x:c>
      <x:c r="C150" s="9" t="str">
        <x:v>施耐德</x:v>
      </x:c>
      <x:c r="D150" s="9"/>
      <x:c r="E150" s="9" t="str">
        <x:v>Matal Box 8 WAY</x:v>
      </x:c>
      <x:c r="F150" s="9" t="str">
        <x:v>NMS</x:v>
      </x:c>
      <x:c r="G150" s="9"/>
      <x:c r="H150" s="12" t="n">
        <x:v>1203</x:v>
      </x:c>
      <x:c r="I150" s="12" t="n">
        <x:v>2040</x:v>
      </x:c>
      <x:c r="J150" s="12" t="n">
        <x:v>1</x:v>
      </x:c>
      <x:c r="K150" s="12" t="n">
        <x:f>IFERROR(I150*26*J150,0)</x:f>
        <x:v>53040</x:v>
      </x:c>
      <x:c r="L150" s="12" t="n">
        <x:f>IFERROR(H150/I150,0)</x:f>
        <x:v>0.5897058823529412</x:v>
      </x:c>
      <x:c r="M150" s="12" t="n">
        <x:f>IFERROR(26*J150,0)</x:f>
        <x:v>26</x:v>
      </x:c>
      <x:c r="N150" s="14" t="n">
        <x:f>IFERROR(L150/M150,0)</x:f>
        <x:v>0.02268099547511312</x:v>
      </x:c>
      <x:c r="O150" s="14" t="n">
        <x:v>0.85</x:v>
      </x:c>
      <x:c r="P150" s="9" t="n">
        <x:v>1</x:v>
      </x:c>
      <x:c r="Q150" s="9"/>
      <x:c r="R150" s="10" t="str">
        <x:f>IF(N150&gt;1,"Over capacity",IF(N150&gt;=0.85,"High load",IF(N150&gt;=0.5,"Normal","Low load")))</x:f>
        <x:v>Low load</x:v>
      </x:c>
    </x:row>
    <x:row r="151">
      <x:c r="A151" s="8" t="str">
        <x:v>260T 单冲 10#</x:v>
      </x:c>
      <x:c r="B151" s="9" t="str">
        <x:v>设备 260T</x:v>
      </x:c>
      <x:c r="C151" s="9" t="str">
        <x:v>施耐德</x:v>
      </x:c>
      <x:c r="D151" s="9"/>
      <x:c r="E151" s="9" t="str">
        <x:v>Matal Box 10 WAY</x:v>
      </x:c>
      <x:c r="F151" s="9" t="str">
        <x:v>NMS</x:v>
      </x:c>
      <x:c r="G151" s="9"/>
      <x:c r="H151" s="12" t="n">
        <x:v>1303.7</x:v>
      </x:c>
      <x:c r="I151" s="12" t="n">
        <x:v>2040</x:v>
      </x:c>
      <x:c r="J151" s="12" t="n">
        <x:v>1</x:v>
      </x:c>
      <x:c r="K151" s="12" t="n">
        <x:f>IFERROR(I151*26*J151,0)</x:f>
        <x:v>53040</x:v>
      </x:c>
      <x:c r="L151" s="12" t="n">
        <x:f>IFERROR(H151/I151,0)</x:f>
        <x:v>0.6390686274509804</x:v>
      </x:c>
      <x:c r="M151" s="12" t="n">
        <x:f>IFERROR(26*J151,0)</x:f>
        <x:v>26</x:v>
      </x:c>
      <x:c r="N151" s="14" t="n">
        <x:f>IFERROR(L151/M151,0)</x:f>
        <x:v>0.024579562594268474</x:v>
      </x:c>
      <x:c r="O151" s="14" t="n">
        <x:v>0.85</x:v>
      </x:c>
      <x:c r="P151" s="9" t="n">
        <x:v>1</x:v>
      </x:c>
      <x:c r="Q151" s="9"/>
      <x:c r="R151" s="10" t="str">
        <x:f>IF(N151&gt;1,"Over capacity",IF(N151&gt;=0.85,"High load",IF(N151&gt;=0.5,"Normal","Low load")))</x:f>
        <x:v>Low load</x:v>
      </x:c>
    </x:row>
    <x:row r="152">
      <x:c r="A152" s="8" t="str">
        <x:v>260T 单冲 10#</x:v>
      </x:c>
      <x:c r="B152" s="9" t="str">
        <x:v>设备 260T</x:v>
      </x:c>
      <x:c r="C152" s="9" t="str">
        <x:v>施耐德</x:v>
      </x:c>
      <x:c r="D152" s="9"/>
      <x:c r="E152" s="9" t="str">
        <x:v>Matal Box 14WAY</x:v>
      </x:c>
      <x:c r="F152" s="9" t="str">
        <x:v>NMS</x:v>
      </x:c>
      <x:c r="G152" s="9"/>
      <x:c r="H152" s="12" t="n">
        <x:v>745</x:v>
      </x:c>
      <x:c r="I152" s="12" t="n">
        <x:v>2040</x:v>
      </x:c>
      <x:c r="J152" s="12" t="n">
        <x:v>1</x:v>
      </x:c>
      <x:c r="K152" s="12" t="n">
        <x:f>IFERROR(I152*26*J152,0)</x:f>
        <x:v>53040</x:v>
      </x:c>
      <x:c r="L152" s="12" t="n">
        <x:f>IFERROR(H152/I152,0)</x:f>
        <x:v>0.36519607843137253</x:v>
      </x:c>
      <x:c r="M152" s="12" t="n">
        <x:f>IFERROR(26*J152,0)</x:f>
        <x:v>26</x:v>
      </x:c>
      <x:c r="N152" s="14" t="n">
        <x:f>IFERROR(L152/M152,0)</x:f>
        <x:v>0.01404600301659125</x:v>
      </x:c>
      <x:c r="O152" s="14" t="n">
        <x:v>0.85</x:v>
      </x:c>
      <x:c r="P152" s="9" t="n">
        <x:v>1</x:v>
      </x:c>
      <x:c r="Q152" s="9"/>
      <x:c r="R152" s="10" t="str">
        <x:f>IF(N152&gt;1,"Over capacity",IF(N152&gt;=0.85,"High load",IF(N152&gt;=0.5,"Normal","Low load")))</x:f>
        <x:v>Low load</x:v>
      </x:c>
    </x:row>
    <x:row r="153">
      <x:c r="A153" s="8" t="str">
        <x:v>260T 单冲 10#</x:v>
      </x:c>
      <x:c r="B153" s="9" t="str">
        <x:v>设备 260T</x:v>
      </x:c>
      <x:c r="C153" s="9" t="str">
        <x:v>施耐德</x:v>
      </x:c>
      <x:c r="D153" s="9"/>
      <x:c r="E153" s="9" t="str">
        <x:v>LC600 BOX</x:v>
      </x:c>
      <x:c r="F153" s="9"/>
      <x:c r="G153" s="9"/>
      <x:c r="H153" s="12" t="n">
        <x:v>6000</x:v>
      </x:c>
      <x:c r="I153" s="12" t="n">
        <x:v>1020</x:v>
      </x:c>
      <x:c r="J153" s="12" t="n">
        <x:v>1</x:v>
      </x:c>
      <x:c r="K153" s="12" t="n">
        <x:f>IFERROR(I153*26*J153,0)</x:f>
        <x:v>26520</x:v>
      </x:c>
      <x:c r="L153" s="12" t="n">
        <x:f>IFERROR(H153/I153,0)</x:f>
        <x:v>5.882352941176471</x:v>
      </x:c>
      <x:c r="M153" s="12" t="n">
        <x:f>IFERROR(26*J153,0)</x:f>
        <x:v>26</x:v>
      </x:c>
      <x:c r="N153" s="14" t="n">
        <x:f>IFERROR(L153/M153,0)</x:f>
        <x:v>0.22624434389140274</x:v>
      </x:c>
      <x:c r="O153" s="14" t="n">
        <x:v>0.85</x:v>
      </x:c>
      <x:c r="P153" s="9" t="n">
        <x:v>1</x:v>
      </x:c>
      <x:c r="Q153" s="9"/>
      <x:c r="R153" s="10" t="str">
        <x:f>IF(N153&gt;1,"Over capacity",IF(N153&gt;=0.85,"High load",IF(N153&gt;=0.5,"Normal","Low load")))</x:f>
        <x:v>Low load</x:v>
      </x:c>
    </x:row>
    <x:row r="154">
      <x:c r="A154" s="8" t="str">
        <x:v>260T 单冲 10#</x:v>
      </x:c>
      <x:c r="B154" s="9" t="str">
        <x:v>设备 260T</x:v>
      </x:c>
      <x:c r="C154" s="9" t="str">
        <x:v>施耐德</x:v>
      </x:c>
      <x:c r="D154" s="9"/>
      <x:c r="E154" s="9" t="str">
        <x:v>NLC BOX 450</x:v>
      </x:c>
      <x:c r="F154" s="9"/>
      <x:c r="G154" s="9"/>
      <x:c r="H154" s="12" t="n">
        <x:v>4500</x:v>
      </x:c>
      <x:c r="I154" s="12" t="n">
        <x:v>1020</x:v>
      </x:c>
      <x:c r="J154" s="12" t="n">
        <x:v>1</x:v>
      </x:c>
      <x:c r="K154" s="12" t="n">
        <x:f>IFERROR(I154*26*J154,0)</x:f>
        <x:v>26520</x:v>
      </x:c>
      <x:c r="L154" s="12" t="n">
        <x:f>IFERROR(H154/I154,0)</x:f>
        <x:v>4.411764705882353</x:v>
      </x:c>
      <x:c r="M154" s="12" t="n">
        <x:f>IFERROR(26*J154,0)</x:f>
        <x:v>26</x:v>
      </x:c>
      <x:c r="N154" s="14" t="n">
        <x:f>IFERROR(L154/M154,0)</x:f>
        <x:v>0.16968325791855204</x:v>
      </x:c>
      <x:c r="O154" s="14" t="n">
        <x:v>0.85</x:v>
      </x:c>
      <x:c r="P154" s="9" t="n">
        <x:v>1</x:v>
      </x:c>
      <x:c r="Q154" s="9"/>
      <x:c r="R154" s="10" t="str">
        <x:f>IF(N154&gt;1,"Over capacity",IF(N154&gt;=0.85,"High load",IF(N154&gt;=0.5,"Normal","Low load")))</x:f>
        <x:v>Low load</x:v>
      </x:c>
    </x:row>
    <x:row r="155">
      <x:c r="A155" s="8" t="str">
        <x:v>260T 单冲 10#</x:v>
      </x:c>
      <x:c r="B155" s="9" t="str">
        <x:v>设备 260T</x:v>
      </x:c>
      <x:c r="C155" s="9" t="str">
        <x:v>施耐德</x:v>
      </x:c>
      <x:c r="D155" s="9"/>
      <x:c r="E155" s="9" t="str">
        <x:v>NLC BOX 600</x:v>
      </x:c>
      <x:c r="F155" s="9"/>
      <x:c r="G155" s="9"/>
      <x:c r="H155" s="12" t="n">
        <x:v>6000</x:v>
      </x:c>
      <x:c r="I155" s="12" t="n">
        <x:v>1020</x:v>
      </x:c>
      <x:c r="J155" s="12" t="n">
        <x:v>1</x:v>
      </x:c>
      <x:c r="K155" s="12" t="n">
        <x:f>IFERROR(I155*26*J155,0)</x:f>
        <x:v>26520</x:v>
      </x:c>
      <x:c r="L155" s="12" t="n">
        <x:f>IFERROR(H155/I155,0)</x:f>
        <x:v>5.882352941176471</x:v>
      </x:c>
      <x:c r="M155" s="12" t="n">
        <x:f>IFERROR(26*J155,0)</x:f>
        <x:v>26</x:v>
      </x:c>
      <x:c r="N155" s="14" t="n">
        <x:f>IFERROR(L155/M155,0)</x:f>
        <x:v>0.22624434389140274</x:v>
      </x:c>
      <x:c r="O155" s="14" t="n">
        <x:v>0.85</x:v>
      </x:c>
      <x:c r="P155" s="9" t="n">
        <x:v>1</x:v>
      </x:c>
      <x:c r="Q155" s="9"/>
      <x:c r="R155" s="10" t="str">
        <x:f>IF(N155&gt;1,"Over capacity",IF(N155&gt;=0.85,"High load",IF(N155&gt;=0.5,"Normal","Low load")))</x:f>
        <x:v>Low load</x:v>
      </x:c>
    </x:row>
    <x:row r="156">
      <x:c r="A156" s="8" t="str">
        <x:v>260T 单冲 10#</x:v>
      </x:c>
      <x:c r="B156" s="9" t="str">
        <x:v>设备 260T</x:v>
      </x:c>
      <x:c r="C156" s="9" t="str">
        <x:v>施耐德</x:v>
      </x:c>
      <x:c r="D156" s="9"/>
      <x:c r="E156" s="9" t="str">
        <x:v>NLC BOX 750</x:v>
      </x:c>
      <x:c r="F156" s="9"/>
      <x:c r="G156" s="9"/>
      <x:c r="H156" s="12" t="n">
        <x:v>1500</x:v>
      </x:c>
      <x:c r="I156" s="12" t="n">
        <x:v>1020</x:v>
      </x:c>
      <x:c r="J156" s="12" t="n">
        <x:v>1</x:v>
      </x:c>
      <x:c r="K156" s="12" t="n">
        <x:f>IFERROR(I156*26*J156,0)</x:f>
        <x:v>26520</x:v>
      </x:c>
      <x:c r="L156" s="12" t="n">
        <x:f>IFERROR(H156/I156,0)</x:f>
        <x:v>1.4705882352941178</x:v>
      </x:c>
      <x:c r="M156" s="12" t="n">
        <x:f>IFERROR(26*J156,0)</x:f>
        <x:v>26</x:v>
      </x:c>
      <x:c r="N156" s="14" t="n">
        <x:f>IFERROR(L156/M156,0)</x:f>
        <x:v>0.056561085972850686</x:v>
      </x:c>
      <x:c r="O156" s="14" t="n">
        <x:v>0.85</x:v>
      </x:c>
      <x:c r="P156" s="9" t="n">
        <x:v>1</x:v>
      </x:c>
      <x:c r="Q156" s="9"/>
      <x:c r="R156" s="10" t="str">
        <x:f>IF(N156&gt;1,"Over capacity",IF(N156&gt;=0.85,"High load",IF(N156&gt;=0.5,"Normal","Low load")))</x:f>
        <x:v>Low load</x:v>
      </x:c>
    </x:row>
    <x:row r="157">
      <x:c r="A157" s="8" t="str">
        <x:v>260T 单冲 10#</x:v>
      </x:c>
      <x:c r="B157" s="9" t="str">
        <x:v>设备 260T</x:v>
      </x:c>
      <x:c r="C157" s="9" t="str">
        <x:v>施耐德</x:v>
      </x:c>
      <x:c r="D157" s="9"/>
      <x:c r="E157" s="9" t="str">
        <x:v>NLC BOX 900</x:v>
      </x:c>
      <x:c r="F157" s="9"/>
      <x:c r="G157" s="9"/>
      <x:c r="H157" s="12" t="n">
        <x:v>360</x:v>
      </x:c>
      <x:c r="I157" s="12" t="n">
        <x:v>1020</x:v>
      </x:c>
      <x:c r="J157" s="12" t="n">
        <x:v>1</x:v>
      </x:c>
      <x:c r="K157" s="12" t="n">
        <x:f>IFERROR(I157*26*J157,0)</x:f>
        <x:v>26520</x:v>
      </x:c>
      <x:c r="L157" s="12" t="n">
        <x:f>IFERROR(H157/I157,0)</x:f>
        <x:v>0.35294117647058826</x:v>
      </x:c>
      <x:c r="M157" s="12" t="n">
        <x:f>IFERROR(26*J157,0)</x:f>
        <x:v>26</x:v>
      </x:c>
      <x:c r="N157" s="14" t="n">
        <x:f>IFERROR(L157/M157,0)</x:f>
        <x:v>0.013574660633484163</x:v>
      </x:c>
      <x:c r="O157" s="14" t="n">
        <x:v>0.85</x:v>
      </x:c>
      <x:c r="P157" s="9" t="n">
        <x:v>1</x:v>
      </x:c>
      <x:c r="Q157" s="9"/>
      <x:c r="R157" s="10" t="str">
        <x:f>IF(N157&gt;1,"Over capacity",IF(N157&gt;=0.85,"High load",IF(N157&gt;=0.5,"Normal","Low load")))</x:f>
        <x:v>Low load</x:v>
      </x:c>
    </x:row>
    <x:row r="158">
      <x:c r="A158" s="8" t="str">
        <x:v>260T 单冲 10#</x:v>
      </x:c>
      <x:c r="B158" s="9" t="str">
        <x:v>设备 260T</x:v>
      </x:c>
      <x:c r="C158" s="9" t="str">
        <x:v>施耐德</x:v>
      </x:c>
      <x:c r="D158" s="9"/>
      <x:c r="E158" s="9" t="str">
        <x:v>NLC DOOR  450</x:v>
      </x:c>
      <x:c r="F158" s="9"/>
      <x:c r="G158" s="9"/>
      <x:c r="H158" s="12" t="n">
        <x:v>2250</x:v>
      </x:c>
      <x:c r="I158" s="12" t="n">
        <x:v>1020</x:v>
      </x:c>
      <x:c r="J158" s="12" t="n">
        <x:v>1</x:v>
      </x:c>
      <x:c r="K158" s="12" t="n">
        <x:f>IFERROR(I158*26*J158,0)</x:f>
        <x:v>26520</x:v>
      </x:c>
      <x:c r="L158" s="12" t="n">
        <x:f>IFERROR(H158/I158,0)</x:f>
        <x:v>2.2058823529411766</x:v>
      </x:c>
      <x:c r="M158" s="12" t="n">
        <x:f>IFERROR(26*J158,0)</x:f>
        <x:v>26</x:v>
      </x:c>
      <x:c r="N158" s="14" t="n">
        <x:f>IFERROR(L158/M158,0)</x:f>
        <x:v>0.08484162895927602</x:v>
      </x:c>
      <x:c r="O158" s="14" t="n">
        <x:v>0.85</x:v>
      </x:c>
      <x:c r="P158" s="9" t="n">
        <x:v>1</x:v>
      </x:c>
      <x:c r="Q158" s="9"/>
      <x:c r="R158" s="10" t="str">
        <x:f>IF(N158&gt;1,"Over capacity",IF(N158&gt;=0.85,"High load",IF(N158&gt;=0.5,"Normal","Low load")))</x:f>
        <x:v>Low load</x:v>
      </x:c>
    </x:row>
    <x:row r="159">
      <x:c r="A159" s="8" t="str">
        <x:v>260T 单冲 10#</x:v>
      </x:c>
      <x:c r="B159" s="9" t="str">
        <x:v>设备 260T</x:v>
      </x:c>
      <x:c r="C159" s="9" t="str">
        <x:v>施耐德</x:v>
      </x:c>
      <x:c r="D159" s="9"/>
      <x:c r="E159" s="9" t="str">
        <x:v>NLC DOOR  600</x:v>
      </x:c>
      <x:c r="F159" s="9"/>
      <x:c r="G159" s="9"/>
      <x:c r="H159" s="12" t="n">
        <x:v>3000</x:v>
      </x:c>
      <x:c r="I159" s="12" t="n">
        <x:v>1020</x:v>
      </x:c>
      <x:c r="J159" s="12" t="n">
        <x:v>1</x:v>
      </x:c>
      <x:c r="K159" s="12" t="n">
        <x:f>IFERROR(I159*26*J159,0)</x:f>
        <x:v>26520</x:v>
      </x:c>
      <x:c r="L159" s="12" t="n">
        <x:f>IFERROR(H159/I159,0)</x:f>
        <x:v>2.9411764705882355</x:v>
      </x:c>
      <x:c r="M159" s="12" t="n">
        <x:f>IFERROR(26*J159,0)</x:f>
        <x:v>26</x:v>
      </x:c>
      <x:c r="N159" s="14" t="n">
        <x:f>IFERROR(L159/M159,0)</x:f>
        <x:v>0.11312217194570137</x:v>
      </x:c>
      <x:c r="O159" s="14" t="n">
        <x:v>0.85</x:v>
      </x:c>
      <x:c r="P159" s="9" t="n">
        <x:v>1</x:v>
      </x:c>
      <x:c r="Q159" s="9"/>
      <x:c r="R159" s="10" t="str">
        <x:f>IF(N159&gt;1,"Over capacity",IF(N159&gt;=0.85,"High load",IF(N159&gt;=0.5,"Normal","Low load")))</x:f>
        <x:v>Low load</x:v>
      </x:c>
    </x:row>
    <x:row r="160">
      <x:c r="A160" s="8" t="str">
        <x:v>260T 单冲 10#</x:v>
      </x:c>
      <x:c r="B160" s="9" t="str">
        <x:v>设备 260T</x:v>
      </x:c>
      <x:c r="C160" s="9" t="str">
        <x:v>施耐德</x:v>
      </x:c>
      <x:c r="D160" s="9"/>
      <x:c r="E160" s="9" t="str">
        <x:v>NLC DOOR  750</x:v>
      </x:c>
      <x:c r="F160" s="9"/>
      <x:c r="G160" s="9"/>
      <x:c r="H160" s="12" t="n">
        <x:v>750</x:v>
      </x:c>
      <x:c r="I160" s="12" t="n">
        <x:v>1020</x:v>
      </x:c>
      <x:c r="J160" s="12" t="n">
        <x:v>1</x:v>
      </x:c>
      <x:c r="K160" s="12" t="n">
        <x:f>IFERROR(I160*26*J160,0)</x:f>
        <x:v>26520</x:v>
      </x:c>
      <x:c r="L160" s="12" t="n">
        <x:f>IFERROR(H160/I160,0)</x:f>
        <x:v>0.7352941176470589</x:v>
      </x:c>
      <x:c r="M160" s="12" t="n">
        <x:f>IFERROR(26*J160,0)</x:f>
        <x:v>26</x:v>
      </x:c>
      <x:c r="N160" s="14" t="n">
        <x:f>IFERROR(L160/M160,0)</x:f>
        <x:v>0.028280542986425343</x:v>
      </x:c>
      <x:c r="O160" s="14" t="n">
        <x:v>0.85</x:v>
      </x:c>
      <x:c r="P160" s="9" t="n">
        <x:v>1</x:v>
      </x:c>
      <x:c r="Q160" s="9"/>
      <x:c r="R160" s="10" t="str">
        <x:f>IF(N160&gt;1,"Over capacity",IF(N160&gt;=0.85,"High load",IF(N160&gt;=0.5,"Normal","Low load")))</x:f>
        <x:v>Low load</x:v>
      </x:c>
    </x:row>
    <x:row r="161">
      <x:c r="A161" s="8" t="str">
        <x:v>260T 单冲 10#</x:v>
      </x:c>
      <x:c r="B161" s="9" t="str">
        <x:v>设备 260T</x:v>
      </x:c>
      <x:c r="C161" s="9" t="str">
        <x:v>施耐德</x:v>
      </x:c>
      <x:c r="D161" s="9"/>
      <x:c r="E161" s="9" t="str">
        <x:v>NLC DOOR   900</x:v>
      </x:c>
      <x:c r="F161" s="9"/>
      <x:c r="G161" s="9"/>
      <x:c r="H161" s="12" t="n">
        <x:v>180</x:v>
      </x:c>
      <x:c r="I161" s="12" t="n">
        <x:v>1020</x:v>
      </x:c>
      <x:c r="J161" s="12" t="n">
        <x:v>1</x:v>
      </x:c>
      <x:c r="K161" s="12" t="n">
        <x:f>IFERROR(I161*26*J161,0)</x:f>
        <x:v>26520</x:v>
      </x:c>
      <x:c r="L161" s="12" t="n">
        <x:f>IFERROR(H161/I161,0)</x:f>
        <x:v>0.17647058823529413</x:v>
      </x:c>
      <x:c r="M161" s="12" t="n">
        <x:f>IFERROR(26*J161,0)</x:f>
        <x:v>26</x:v>
      </x:c>
      <x:c r="N161" s="14" t="n">
        <x:f>IFERROR(L161/M161,0)</x:f>
        <x:v>0.006787330316742082</x:v>
      </x:c>
      <x:c r="O161" s="14" t="n">
        <x:v>0.85</x:v>
      </x:c>
      <x:c r="P161" s="9" t="n">
        <x:v>1</x:v>
      </x:c>
      <x:c r="Q161" s="9"/>
      <x:c r="R161" s="10" t="str">
        <x:f>IF(N161&gt;1,"Over capacity",IF(N161&gt;=0.85,"High load",IF(N161&gt;=0.5,"Normal","Low load")))</x:f>
        <x:v>Low load</x:v>
      </x:c>
    </x:row>
    <x:row r="162">
      <x:c r="A162" s="8" t="str">
        <x:v>260T 单冲 10#</x:v>
      </x:c>
      <x:c r="B162" s="9" t="str">
        <x:v>设备 260T</x:v>
      </x:c>
      <x:c r="C162" s="9" t="str">
        <x:v>施耐德</x:v>
      </x:c>
      <x:c r="D162" s="9"/>
      <x:c r="E162" s="9" t="str">
        <x:v>NLC COVER 450</x:v>
      </x:c>
      <x:c r="F162" s="9"/>
      <x:c r="G162" s="9"/>
      <x:c r="H162" s="12" t="n">
        <x:v>6750</x:v>
      </x:c>
      <x:c r="I162" s="12" t="n">
        <x:v>1020</x:v>
      </x:c>
      <x:c r="J162" s="12" t="n">
        <x:v>1</x:v>
      </x:c>
      <x:c r="K162" s="12" t="n">
        <x:f>IFERROR(I162*26*J162,0)</x:f>
        <x:v>26520</x:v>
      </x:c>
      <x:c r="L162" s="12" t="n">
        <x:f>IFERROR(H162/I162,0)</x:f>
        <x:v>6.617647058823529</x:v>
      </x:c>
      <x:c r="M162" s="12" t="n">
        <x:f>IFERROR(26*J162,0)</x:f>
        <x:v>26</x:v>
      </x:c>
      <x:c r="N162" s="14" t="n">
        <x:f>IFERROR(L162/M162,0)</x:f>
        <x:v>0.25452488687782804</x:v>
      </x:c>
      <x:c r="O162" s="14" t="n">
        <x:v>0.85</x:v>
      </x:c>
      <x:c r="P162" s="9" t="n">
        <x:v>1</x:v>
      </x:c>
      <x:c r="Q162" s="9"/>
      <x:c r="R162" s="10" t="str">
        <x:f>IF(N162&gt;1,"Over capacity",IF(N162&gt;=0.85,"High load",IF(N162&gt;=0.5,"Normal","Low load")))</x:f>
        <x:v>Low load</x:v>
      </x:c>
    </x:row>
    <x:row r="163">
      <x:c r="A163" s="8" t="str">
        <x:v>260T 单冲 10#</x:v>
      </x:c>
      <x:c r="B163" s="9" t="str">
        <x:v>设备 260T</x:v>
      </x:c>
      <x:c r="C163" s="9" t="str">
        <x:v>施耐德</x:v>
      </x:c>
      <x:c r="D163" s="9"/>
      <x:c r="E163" s="9" t="str">
        <x:v>NLC COVER 600</x:v>
      </x:c>
      <x:c r="F163" s="9"/>
      <x:c r="G163" s="9"/>
      <x:c r="H163" s="12" t="n">
        <x:v>12000</x:v>
      </x:c>
      <x:c r="I163" s="12" t="n">
        <x:v>1020</x:v>
      </x:c>
      <x:c r="J163" s="12" t="n">
        <x:v>1</x:v>
      </x:c>
      <x:c r="K163" s="12" t="n">
        <x:f>IFERROR(I163*26*J163,0)</x:f>
        <x:v>26520</x:v>
      </x:c>
      <x:c r="L163" s="12" t="n">
        <x:f>IFERROR(H163/I163,0)</x:f>
        <x:v>11.764705882352942</x:v>
      </x:c>
      <x:c r="M163" s="12" t="n">
        <x:f>IFERROR(26*J163,0)</x:f>
        <x:v>26</x:v>
      </x:c>
      <x:c r="N163" s="14" t="n">
        <x:f>IFERROR(L163/M163,0)</x:f>
        <x:v>0.4524886877828055</x:v>
      </x:c>
      <x:c r="O163" s="14" t="n">
        <x:v>0.85</x:v>
      </x:c>
      <x:c r="P163" s="9" t="n">
        <x:v>1</x:v>
      </x:c>
      <x:c r="Q163" s="9"/>
      <x:c r="R163" s="10" t="str">
        <x:f>IF(N163&gt;1,"Over capacity",IF(N163&gt;=0.85,"High load",IF(N163&gt;=0.5,"Normal","Low load")))</x:f>
        <x:v>Low load</x:v>
      </x:c>
    </x:row>
    <x:row r="164">
      <x:c r="A164" s="8" t="str">
        <x:v>260T 单冲 10#</x:v>
      </x:c>
      <x:c r="B164" s="9" t="str">
        <x:v>设备 260T</x:v>
      </x:c>
      <x:c r="C164" s="9" t="str">
        <x:v>施耐德</x:v>
      </x:c>
      <x:c r="D164" s="9"/>
      <x:c r="E164" s="9" t="str">
        <x:v>NLC COVER 750</x:v>
      </x:c>
      <x:c r="F164" s="9"/>
      <x:c r="G164" s="9"/>
      <x:c r="H164" s="12" t="n">
        <x:v>1500</x:v>
      </x:c>
      <x:c r="I164" s="12" t="n">
        <x:v>1020</x:v>
      </x:c>
      <x:c r="J164" s="12" t="n">
        <x:v>1</x:v>
      </x:c>
      <x:c r="K164" s="12" t="n">
        <x:f>IFERROR(I164*26*J164,0)</x:f>
        <x:v>26520</x:v>
      </x:c>
      <x:c r="L164" s="12" t="n">
        <x:f>IFERROR(H164/I164,0)</x:f>
        <x:v>1.4705882352941178</x:v>
      </x:c>
      <x:c r="M164" s="12" t="n">
        <x:f>IFERROR(26*J164,0)</x:f>
        <x:v>26</x:v>
      </x:c>
      <x:c r="N164" s="14" t="n">
        <x:f>IFERROR(L164/M164,0)</x:f>
        <x:v>0.056561085972850686</x:v>
      </x:c>
      <x:c r="O164" s="14" t="n">
        <x:v>0.85</x:v>
      </x:c>
      <x:c r="P164" s="9" t="n">
        <x:v>1</x:v>
      </x:c>
      <x:c r="Q164" s="9"/>
      <x:c r="R164" s="10" t="str">
        <x:f>IF(N164&gt;1,"Over capacity",IF(N164&gt;=0.85,"High load",IF(N164&gt;=0.5,"Normal","Low load")))</x:f>
        <x:v>Low load</x:v>
      </x:c>
    </x:row>
    <x:row r="165">
      <x:c r="A165" s="8" t="str">
        <x:v>260T 单冲 10#</x:v>
      </x:c>
      <x:c r="B165" s="9" t="str">
        <x:v>设备 260T</x:v>
      </x:c>
      <x:c r="C165" s="9" t="str">
        <x:v>施耐德</x:v>
      </x:c>
      <x:c r="D165" s="9"/>
      <x:c r="E165" s="9" t="str">
        <x:v>NLC COVER 900</x:v>
      </x:c>
      <x:c r="F165" s="9"/>
      <x:c r="G165" s="9"/>
      <x:c r="H165" s="12" t="n">
        <x:v>360</x:v>
      </x:c>
      <x:c r="I165" s="12" t="n">
        <x:v>1020</x:v>
      </x:c>
      <x:c r="J165" s="12" t="n">
        <x:v>1</x:v>
      </x:c>
      <x:c r="K165" s="12" t="n">
        <x:f>IFERROR(I165*26*J165,0)</x:f>
        <x:v>26520</x:v>
      </x:c>
      <x:c r="L165" s="12" t="n">
        <x:f>IFERROR(H165/I165,0)</x:f>
        <x:v>0.35294117647058826</x:v>
      </x:c>
      <x:c r="M165" s="12" t="n">
        <x:f>IFERROR(26*J165,0)</x:f>
        <x:v>26</x:v>
      </x:c>
      <x:c r="N165" s="14" t="n">
        <x:f>IFERROR(L165/M165,0)</x:f>
        <x:v>0.013574660633484163</x:v>
      </x:c>
      <x:c r="O165" s="14" t="n">
        <x:v>0.85</x:v>
      </x:c>
      <x:c r="P165" s="9" t="n">
        <x:v>1</x:v>
      </x:c>
      <x:c r="Q165" s="9"/>
      <x:c r="R165" s="10" t="str">
        <x:f>IF(N165&gt;1,"Over capacity",IF(N165&gt;=0.85,"High load",IF(N165&gt;=0.5,"Normal","Low load")))</x:f>
        <x:v>Low load</x:v>
      </x:c>
    </x:row>
    <x:row r="166">
      <x:c r="A166" s="8" t="str">
        <x:v>260T 单冲 10#</x:v>
      </x:c>
      <x:c r="B166" s="9" t="str">
        <x:v>设备 260T</x:v>
      </x:c>
      <x:c r="C166" s="9" t="str">
        <x:v>施耐德</x:v>
      </x:c>
      <x:c r="D166" s="9"/>
      <x:c r="E166" s="9" t="str">
        <x:v>CU COVER  2+4 WAY</x:v>
      </x:c>
      <x:c r="F166" s="9"/>
      <x:c r="G166" s="9"/>
      <x:c r="H166" s="12" t="n">
        <x:v>5000</x:v>
      </x:c>
      <x:c r="I166" s="12" t="n">
        <x:v>1530</x:v>
      </x:c>
      <x:c r="J166" s="12" t="n">
        <x:v>1</x:v>
      </x:c>
      <x:c r="K166" s="12" t="n">
        <x:f>IFERROR(I166*26*J166,0)</x:f>
        <x:v>39780</x:v>
      </x:c>
      <x:c r="L166" s="12" t="n">
        <x:f>IFERROR(H166/I166,0)</x:f>
        <x:v>3.2679738562091503</x:v>
      </x:c>
      <x:c r="M166" s="12" t="n">
        <x:f>IFERROR(26*J166,0)</x:f>
        <x:v>26</x:v>
      </x:c>
      <x:c r="N166" s="14" t="n">
        <x:f>IFERROR(L166/M166,0)</x:f>
        <x:v>0.1256913021618904</x:v>
      </x:c>
      <x:c r="O166" s="14" t="n">
        <x:v>0.85</x:v>
      </x:c>
      <x:c r="P166" s="9" t="n">
        <x:v>1</x:v>
      </x:c>
      <x:c r="Q166" s="9"/>
      <x:c r="R166" s="10" t="str">
        <x:f>IF(N166&gt;1,"Over capacity",IF(N166&gt;=0.85,"High load",IF(N166&gt;=0.5,"Normal","Low load")))</x:f>
        <x:v>Low load</x:v>
      </x:c>
    </x:row>
    <x:row r="167">
      <x:c r="A167" s="8" t="str">
        <x:v>260T 单冲 10#</x:v>
      </x:c>
      <x:c r="B167" s="9" t="str">
        <x:v>设备 260T</x:v>
      </x:c>
      <x:c r="C167" s="9" t="str">
        <x:v>施耐德</x:v>
      </x:c>
      <x:c r="D167" s="9"/>
      <x:c r="E167" s="9" t="str">
        <x:v>CU COVER 2+6 WAY</x:v>
      </x:c>
      <x:c r="F167" s="9"/>
      <x:c r="G167" s="9"/>
      <x:c r="H167" s="12" t="n">
        <x:v>4000</x:v>
      </x:c>
      <x:c r="I167" s="12" t="n">
        <x:v>1530</x:v>
      </x:c>
      <x:c r="J167" s="12" t="n">
        <x:v>1</x:v>
      </x:c>
      <x:c r="K167" s="12" t="n">
        <x:f>IFERROR(I167*26*J167,0)</x:f>
        <x:v>39780</x:v>
      </x:c>
      <x:c r="L167" s="12" t="n">
        <x:f>IFERROR(H167/I167,0)</x:f>
        <x:v>2.6143790849673203</x:v>
      </x:c>
      <x:c r="M167" s="12" t="n">
        <x:f>IFERROR(26*J167,0)</x:f>
        <x:v>26</x:v>
      </x:c>
      <x:c r="N167" s="14" t="n">
        <x:f>IFERROR(L167/M167,0)</x:f>
        <x:v>0.10055304172951232</x:v>
      </x:c>
      <x:c r="O167" s="14" t="n">
        <x:v>0.85</x:v>
      </x:c>
      <x:c r="P167" s="9" t="n">
        <x:v>1</x:v>
      </x:c>
      <x:c r="Q167" s="9"/>
      <x:c r="R167" s="10" t="str">
        <x:f>IF(N167&gt;1,"Over capacity",IF(N167&gt;=0.85,"High load",IF(N167&gt;=0.5,"Normal","Low load")))</x:f>
        <x:v>Low load</x:v>
      </x:c>
    </x:row>
    <x:row r="168">
      <x:c r="A168" s="8" t="str">
        <x:v>260T 单冲 10#</x:v>
      </x:c>
      <x:c r="B168" s="9" t="str">
        <x:v>设备 260T</x:v>
      </x:c>
      <x:c r="C168" s="9" t="str">
        <x:v>施耐德</x:v>
      </x:c>
      <x:c r="D168" s="9"/>
      <x:c r="E168" s="9" t="str">
        <x:v>CU COVER 2+10 WAY</x:v>
      </x:c>
      <x:c r="F168" s="9"/>
      <x:c r="G168" s="9"/>
      <x:c r="H168" s="12" t="n">
        <x:v>5600</x:v>
      </x:c>
      <x:c r="I168" s="12" t="n">
        <x:v>1530</x:v>
      </x:c>
      <x:c r="J168" s="12" t="n">
        <x:v>1</x:v>
      </x:c>
      <x:c r="K168" s="12" t="n">
        <x:f>IFERROR(I168*26*J168,0)</x:f>
        <x:v>39780</x:v>
      </x:c>
      <x:c r="L168" s="12" t="n">
        <x:f>IFERROR(H168/I168,0)</x:f>
        <x:v>3.6601307189542482</x:v>
      </x:c>
      <x:c r="M168" s="12" t="n">
        <x:f>IFERROR(26*J168,0)</x:f>
        <x:v>26</x:v>
      </x:c>
      <x:c r="N168" s="14" t="n">
        <x:f>IFERROR(L168/M168,0)</x:f>
        <x:v>0.14077425842131724</x:v>
      </x:c>
      <x:c r="O168" s="14" t="n">
        <x:v>0.85</x:v>
      </x:c>
      <x:c r="P168" s="9" t="n">
        <x:v>1</x:v>
      </x:c>
      <x:c r="Q168" s="9"/>
      <x:c r="R168" s="10" t="str">
        <x:f>IF(N168&gt;1,"Over capacity",IF(N168&gt;=0.85,"High load",IF(N168&gt;=0.5,"Normal","Low load")))</x:f>
        <x:v>Low load</x:v>
      </x:c>
    </x:row>
    <x:row r="169">
      <x:c r="A169" s="8" t="str">
        <x:v>260T 单冲 10#</x:v>
      </x:c>
      <x:c r="B169" s="9" t="str">
        <x:v>设备 260T</x:v>
      </x:c>
      <x:c r="C169" s="9" t="str">
        <x:v>施耐德</x:v>
      </x:c>
      <x:c r="D169" s="9"/>
      <x:c r="E169" s="9" t="str">
        <x:v>CU COVER 2+14 WAY</x:v>
      </x:c>
      <x:c r="F169" s="9"/>
      <x:c r="G169" s="9"/>
      <x:c r="H169" s="12" t="n">
        <x:v>3000</x:v>
      </x:c>
      <x:c r="I169" s="12" t="n">
        <x:v>1530</x:v>
      </x:c>
      <x:c r="J169" s="12" t="n">
        <x:v>1</x:v>
      </x:c>
      <x:c r="K169" s="12" t="n">
        <x:f>IFERROR(I169*26*J169,0)</x:f>
        <x:v>39780</x:v>
      </x:c>
      <x:c r="L169" s="12" t="n">
        <x:f>IFERROR(H169/I169,0)</x:f>
        <x:v>1.9607843137254901</x:v>
      </x:c>
      <x:c r="M169" s="12" t="n">
        <x:f>IFERROR(26*J169,0)</x:f>
        <x:v>26</x:v>
      </x:c>
      <x:c r="N169" s="14" t="n">
        <x:f>IFERROR(L169/M169,0)</x:f>
        <x:v>0.07541478129713423</x:v>
      </x:c>
      <x:c r="O169" s="14" t="n">
        <x:v>0.85</x:v>
      </x:c>
      <x:c r="P169" s="9" t="n">
        <x:v>1</x:v>
      </x:c>
      <x:c r="Q169" s="9"/>
      <x:c r="R169" s="10" t="str">
        <x:f>IF(N169&gt;1,"Over capacity",IF(N169&gt;=0.85,"High load",IF(N169&gt;=0.5,"Normal","Low load")))</x:f>
        <x:v>Low load</x:v>
      </x:c>
    </x:row>
    <x:row r="170">
      <x:c r="A170" s="8" t="str">
        <x:v>260T 单冲 10#</x:v>
      </x:c>
      <x:c r="B170" s="9" t="str">
        <x:v>设备 260T</x:v>
      </x:c>
      <x:c r="C170" s="9" t="str">
        <x:v>施耐德</x:v>
      </x:c>
      <x:c r="D170" s="9"/>
      <x:c r="E170" s="9" t="str">
        <x:v>CU COVER 2+18 WAY</x:v>
      </x:c>
      <x:c r="F170" s="9"/>
      <x:c r="G170" s="9"/>
      <x:c r="H170" s="12" t="n">
        <x:v>1600</x:v>
      </x:c>
      <x:c r="I170" s="12" t="n">
        <x:v>1530</x:v>
      </x:c>
      <x:c r="J170" s="12" t="n">
        <x:v>1</x:v>
      </x:c>
      <x:c r="K170" s="12" t="n">
        <x:f>IFERROR(I170*26*J170,0)</x:f>
        <x:v>39780</x:v>
      </x:c>
      <x:c r="L170" s="12" t="n">
        <x:f>IFERROR(H170/I170,0)</x:f>
        <x:v>1.0457516339869282</x:v>
      </x:c>
      <x:c r="M170" s="12" t="n">
        <x:f>IFERROR(26*J170,0)</x:f>
        <x:v>26</x:v>
      </x:c>
      <x:c r="N170" s="14" t="n">
        <x:f>IFERROR(L170/M170,0)</x:f>
        <x:v>0.04022121669180493</x:v>
      </x:c>
      <x:c r="O170" s="14" t="n">
        <x:v>0.85</x:v>
      </x:c>
      <x:c r="P170" s="9" t="n">
        <x:v>1</x:v>
      </x:c>
      <x:c r="Q170" s="9"/>
      <x:c r="R170" s="10" t="str">
        <x:f>IF(N170&gt;1,"Over capacity",IF(N170&gt;=0.85,"High load",IF(N170&gt;=0.5,"Normal","Low load")))</x:f>
        <x:v>Low load</x:v>
      </x:c>
    </x:row>
    <x:row r="171">
      <x:c r="A171" s="8" t="str">
        <x:v>折弯 BENDING</x:v>
      </x:c>
      <x:c r="B171" s="9" t="str">
        <x:v>折弯</x:v>
      </x:c>
      <x:c r="C171" s="9" t="str">
        <x:v>施耐德</x:v>
      </x:c>
      <x:c r="D171" s="9"/>
      <x:c r="E171" s="9" t="str">
        <x:v>LC600 COVER</x:v>
      </x:c>
      <x:c r="F171" s="9"/>
      <x:c r="G171" s="9"/>
      <x:c r="H171" s="12" t="n">
        <x:v>2000</x:v>
      </x:c>
      <x:c r="I171" s="12" t="n">
        <x:v>720</x:v>
      </x:c>
      <x:c r="J171" s="12" t="n">
        <x:v>1</x:v>
      </x:c>
      <x:c r="K171" s="12" t="n">
        <x:f>IFERROR(I171*26*J171,0)</x:f>
        <x:v>18720</x:v>
      </x:c>
      <x:c r="L171" s="12" t="n">
        <x:f>IFERROR(H171/I171,0)</x:f>
        <x:v>2.7777777777777777</x:v>
      </x:c>
      <x:c r="M171" s="12" t="n">
        <x:f>IFERROR(26*J171,0)</x:f>
        <x:v>26</x:v>
      </x:c>
      <x:c r="N171" s="14" t="n">
        <x:f>IFERROR(L171/M171,0)</x:f>
        <x:v>0.10683760683760683</x:v>
      </x:c>
      <x:c r="O171" s="14" t="n">
        <x:v>0.75</x:v>
      </x:c>
      <x:c r="P171" s="9" t="n">
        <x:v>1</x:v>
      </x:c>
      <x:c r="Q171" s="9"/>
      <x:c r="R171" s="10" t="str">
        <x:f>IF(N171&gt;1,"Over capacity",IF(N171&gt;=0.85,"High load",IF(N171&gt;=0.5,"Normal","Low load")))</x:f>
        <x:v>Low load</x:v>
      </x:c>
    </x:row>
    <x:row r="172">
      <x:c r="A172" s="8" t="str">
        <x:v>折弯 BENDING</x:v>
      </x:c>
      <x:c r="B172" s="9" t="str">
        <x:v>折弯</x:v>
      </x:c>
      <x:c r="C172" s="9" t="str">
        <x:v>施耐德</x:v>
      </x:c>
      <x:c r="D172" s="9"/>
      <x:c r="E172" s="9" t="str">
        <x:v>LC600 DOOR</x:v>
      </x:c>
      <x:c r="F172" s="9"/>
      <x:c r="G172" s="9"/>
      <x:c r="H172" s="12" t="n">
        <x:v>2000</x:v>
      </x:c>
      <x:c r="I172" s="12" t="n">
        <x:v>720</x:v>
      </x:c>
      <x:c r="J172" s="12" t="n">
        <x:v>1</x:v>
      </x:c>
      <x:c r="K172" s="12" t="n">
        <x:f>IFERROR(I172*26*J172,0)</x:f>
        <x:v>18720</x:v>
      </x:c>
      <x:c r="L172" s="12" t="n">
        <x:f>IFERROR(H172/I172,0)</x:f>
        <x:v>2.7777777777777777</x:v>
      </x:c>
      <x:c r="M172" s="12" t="n">
        <x:f>IFERROR(26*J172,0)</x:f>
        <x:v>26</x:v>
      </x:c>
      <x:c r="N172" s="14" t="n">
        <x:f>IFERROR(L172/M172,0)</x:f>
        <x:v>0.10683760683760683</x:v>
      </x:c>
      <x:c r="O172" s="14" t="n">
        <x:v>0.75</x:v>
      </x:c>
      <x:c r="P172" s="9" t="n">
        <x:v>1</x:v>
      </x:c>
      <x:c r="Q172" s="9"/>
      <x:c r="R172" s="10" t="str">
        <x:f>IF(N172&gt;1,"Over capacity",IF(N172&gt;=0.85,"High load",IF(N172&gt;=0.5,"Normal","Low load")))</x:f>
        <x:v>Low load</x:v>
      </x:c>
    </x:row>
    <x:row r="173">
      <x:c r="A173" s="8" t="str">
        <x:v>折弯 BENDING</x:v>
      </x:c>
      <x:c r="B173" s="9" t="str">
        <x:v>折弯</x:v>
      </x:c>
      <x:c r="C173" s="9" t="str">
        <x:v>施耐德</x:v>
      </x:c>
      <x:c r="D173" s="9"/>
      <x:c r="E173" s="9" t="str">
        <x:v>LC600 BOX</x:v>
      </x:c>
      <x:c r="F173" s="9"/>
      <x:c r="G173" s="9"/>
      <x:c r="H173" s="12" t="n">
        <x:v>2000</x:v>
      </x:c>
      <x:c r="I173" s="12" t="n">
        <x:v>225</x:v>
      </x:c>
      <x:c r="J173" s="12" t="n">
        <x:v>1</x:v>
      </x:c>
      <x:c r="K173" s="12" t="n">
        <x:f>IFERROR(I173*26*J173,0)</x:f>
        <x:v>5850</x:v>
      </x:c>
      <x:c r="L173" s="12" t="n">
        <x:f>IFERROR(H173/I173,0)</x:f>
        <x:v>8.88888888888889</x:v>
      </x:c>
      <x:c r="M173" s="12" t="n">
        <x:f>IFERROR(26*J173,0)</x:f>
        <x:v>26</x:v>
      </x:c>
      <x:c r="N173" s="14" t="n">
        <x:f>IFERROR(L173/M173,0)</x:f>
        <x:v>0.3418803418803419</x:v>
      </x:c>
      <x:c r="O173" s="14" t="n">
        <x:v>0.75</x:v>
      </x:c>
      <x:c r="P173" s="9" t="n">
        <x:v>1</x:v>
      </x:c>
      <x:c r="Q173" s="9"/>
      <x:c r="R173" s="10" t="str">
        <x:f>IF(N173&gt;1,"Over capacity",IF(N173&gt;=0.85,"High load",IF(N173&gt;=0.5,"Normal","Low load")))</x:f>
        <x:v>Low load</x:v>
      </x:c>
    </x:row>
    <x:row r="174">
      <x:c r="A174" s="8" t="str">
        <x:v>折弯 BENDING</x:v>
      </x:c>
      <x:c r="B174" s="9" t="str">
        <x:v>折弯</x:v>
      </x:c>
      <x:c r="C174" s="9" t="str">
        <x:v>施耐德</x:v>
      </x:c>
      <x:c r="D174" s="9"/>
      <x:c r="E174" s="9" t="str">
        <x:v>PDB</x:v>
      </x:c>
      <x:c r="F174" s="9"/>
      <x:c r="G174" s="9"/>
      <x:c r="H174" s="12" t="n">
        <x:v>2000</x:v>
      </x:c>
      <x:c r="I174" s="12" t="n">
        <x:v>900</x:v>
      </x:c>
      <x:c r="J174" s="12" t="n">
        <x:v>1</x:v>
      </x:c>
      <x:c r="K174" s="12" t="n">
        <x:f>IFERROR(I174*26*J174,0)</x:f>
        <x:v>23400</x:v>
      </x:c>
      <x:c r="L174" s="12" t="n">
        <x:f>IFERROR(H174/I174,0)</x:f>
        <x:v>2.2222222222222223</x:v>
      </x:c>
      <x:c r="M174" s="12" t="n">
        <x:f>IFERROR(26*J174,0)</x:f>
        <x:v>26</x:v>
      </x:c>
      <x:c r="N174" s="14" t="n">
        <x:f>IFERROR(L174/M174,0)</x:f>
        <x:v>0.08547008547008547</x:v>
      </x:c>
      <x:c r="O174" s="14" t="n">
        <x:v>0.75</x:v>
      </x:c>
      <x:c r="P174" s="9" t="n">
        <x:v>1</x:v>
      </x:c>
      <x:c r="Q174" s="9"/>
      <x:c r="R174" s="10" t="str">
        <x:f>IF(N174&gt;1,"Over capacity",IF(N174&gt;=0.85,"High load",IF(N174&gt;=0.5,"Normal","Low load")))</x:f>
        <x:v>Low load</x:v>
      </x:c>
    </x:row>
    <x:row r="175">
      <x:c r="A175" s="8" t="str">
        <x:v>折弯 BENDING</x:v>
      </x:c>
      <x:c r="B175" s="9" t="str">
        <x:v>折弯</x:v>
      </x:c>
      <x:c r="C175" s="9" t="str">
        <x:v>施耐德</x:v>
      </x:c>
      <x:c r="D175" s="9"/>
      <x:c r="E175" s="9" t="str">
        <x:v>NLC BOX 450</x:v>
      </x:c>
      <x:c r="F175" s="9"/>
      <x:c r="G175" s="9"/>
      <x:c r="H175" s="12" t="n">
        <x:v>2700</x:v>
      </x:c>
      <x:c r="I175" s="12" t="n">
        <x:v>225</x:v>
      </x:c>
      <x:c r="J175" s="12" t="n">
        <x:v>1</x:v>
      </x:c>
      <x:c r="K175" s="12" t="n">
        <x:f>IFERROR(I175*26*J175,0)</x:f>
        <x:v>5850</x:v>
      </x:c>
      <x:c r="L175" s="12" t="n">
        <x:f>IFERROR(H175/I175,0)</x:f>
        <x:v>12</x:v>
      </x:c>
      <x:c r="M175" s="12" t="n">
        <x:f>IFERROR(26*J175,0)</x:f>
        <x:v>26</x:v>
      </x:c>
      <x:c r="N175" s="14" t="n">
        <x:f>IFERROR(L175/M175,0)</x:f>
        <x:v>0.46153846153846156</x:v>
      </x:c>
      <x:c r="O175" s="14" t="n">
        <x:v>0.75</x:v>
      </x:c>
      <x:c r="P175" s="9" t="n">
        <x:v>1</x:v>
      </x:c>
      <x:c r="Q175" s="9"/>
      <x:c r="R175" s="10" t="str">
        <x:f>IF(N175&gt;1,"Over capacity",IF(N175&gt;=0.85,"High load",IF(N175&gt;=0.5,"Normal","Low load")))</x:f>
        <x:v>Low load</x:v>
      </x:c>
    </x:row>
    <x:row r="176">
      <x:c r="A176" s="8" t="str">
        <x:v>折弯 BENDING</x:v>
      </x:c>
      <x:c r="B176" s="9" t="str">
        <x:v>折弯</x:v>
      </x:c>
      <x:c r="C176" s="9" t="str">
        <x:v>施耐德</x:v>
      </x:c>
      <x:c r="D176" s="9"/>
      <x:c r="E176" s="9" t="str">
        <x:v>NLC BOX 600</x:v>
      </x:c>
      <x:c r="F176" s="9"/>
      <x:c r="G176" s="9"/>
      <x:c r="H176" s="12" t="n">
        <x:v>5500</x:v>
      </x:c>
      <x:c r="I176" s="12" t="n">
        <x:v>225</x:v>
      </x:c>
      <x:c r="J176" s="12" t="n">
        <x:v>1</x:v>
      </x:c>
      <x:c r="K176" s="12" t="n">
        <x:f>IFERROR(I176*26*J176,0)</x:f>
        <x:v>5850</x:v>
      </x:c>
      <x:c r="L176" s="12" t="n">
        <x:f>IFERROR(H176/I176,0)</x:f>
        <x:v>24.444444444444443</x:v>
      </x:c>
      <x:c r="M176" s="12" t="n">
        <x:f>IFERROR(26*J176,0)</x:f>
        <x:v>26</x:v>
      </x:c>
      <x:c r="N176" s="14" t="n">
        <x:f>IFERROR(L176/M176,0)</x:f>
        <x:v>0.9401709401709402</x:v>
      </x:c>
      <x:c r="O176" s="14" t="n">
        <x:v>0.75</x:v>
      </x:c>
      <x:c r="P176" s="9" t="n">
        <x:v>1</x:v>
      </x:c>
      <x:c r="Q176" s="9"/>
      <x:c r="R176" s="10" t="str">
        <x:f>IF(N176&gt;1,"Over capacity",IF(N176&gt;=0.85,"High load",IF(N176&gt;=0.5,"Normal","Low load")))</x:f>
        <x:v>High load</x:v>
      </x:c>
    </x:row>
    <x:row r="177">
      <x:c r="A177" s="8" t="str">
        <x:v>折弯 BENDING</x:v>
      </x:c>
      <x:c r="B177" s="9" t="str">
        <x:v>折弯</x:v>
      </x:c>
      <x:c r="C177" s="9" t="str">
        <x:v>施耐德</x:v>
      </x:c>
      <x:c r="D177" s="9"/>
      <x:c r="E177" s="9" t="str">
        <x:v>NLC BOX 750</x:v>
      </x:c>
      <x:c r="F177" s="9"/>
      <x:c r="G177" s="9"/>
      <x:c r="H177" s="12" t="n">
        <x:v>1500</x:v>
      </x:c>
      <x:c r="I177" s="12" t="n">
        <x:v>225</x:v>
      </x:c>
      <x:c r="J177" s="12" t="n">
        <x:v>1</x:v>
      </x:c>
      <x:c r="K177" s="12" t="n">
        <x:f>IFERROR(I177*26*J177,0)</x:f>
        <x:v>5850</x:v>
      </x:c>
      <x:c r="L177" s="12" t="n">
        <x:f>IFERROR(H177/I177,0)</x:f>
        <x:v>6.666666666666667</x:v>
      </x:c>
      <x:c r="M177" s="12" t="n">
        <x:f>IFERROR(26*J177,0)</x:f>
        <x:v>26</x:v>
      </x:c>
      <x:c r="N177" s="14" t="n">
        <x:f>IFERROR(L177/M177,0)</x:f>
        <x:v>0.25641025641025644</x:v>
      </x:c>
      <x:c r="O177" s="14" t="n">
        <x:v>0.75</x:v>
      </x:c>
      <x:c r="P177" s="9" t="n">
        <x:v>1</x:v>
      </x:c>
      <x:c r="Q177" s="9"/>
      <x:c r="R177" s="10" t="str">
        <x:f>IF(N177&gt;1,"Over capacity",IF(N177&gt;=0.85,"High load",IF(N177&gt;=0.5,"Normal","Low load")))</x:f>
        <x:v>Low load</x:v>
      </x:c>
    </x:row>
    <x:row r="178">
      <x:c r="A178" s="8" t="str">
        <x:v>折弯 BENDING</x:v>
      </x:c>
      <x:c r="B178" s="9" t="str">
        <x:v>折弯</x:v>
      </x:c>
      <x:c r="C178" s="9" t="str">
        <x:v>施耐德</x:v>
      </x:c>
      <x:c r="D178" s="9"/>
      <x:c r="E178" s="9" t="str">
        <x:v>NLC BOX 900</x:v>
      </x:c>
      <x:c r="F178" s="9"/>
      <x:c r="G178" s="9"/>
      <x:c r="H178" s="12" t="n">
        <x:v>300</x:v>
      </x:c>
      <x:c r="I178" s="12" t="n">
        <x:v>225</x:v>
      </x:c>
      <x:c r="J178" s="12" t="n">
        <x:v>1</x:v>
      </x:c>
      <x:c r="K178" s="12" t="n">
        <x:f>IFERROR(I178*26*J178,0)</x:f>
        <x:v>5850</x:v>
      </x:c>
      <x:c r="L178" s="12" t="n">
        <x:f>IFERROR(H178/I178,0)</x:f>
        <x:v>1.3333333333333333</x:v>
      </x:c>
      <x:c r="M178" s="12" t="n">
        <x:f>IFERROR(26*J178,0)</x:f>
        <x:v>26</x:v>
      </x:c>
      <x:c r="N178" s="14" t="n">
        <x:f>IFERROR(L178/M178,0)</x:f>
        <x:v>0.05128205128205128</x:v>
      </x:c>
      <x:c r="O178" s="14" t="n">
        <x:v>0.75</x:v>
      </x:c>
      <x:c r="P178" s="9" t="n">
        <x:v>1</x:v>
      </x:c>
      <x:c r="Q178" s="9"/>
      <x:c r="R178" s="10" t="str">
        <x:f>IF(N178&gt;1,"Over capacity",IF(N178&gt;=0.85,"High load",IF(N178&gt;=0.5,"Normal","Low load")))</x:f>
        <x:v>Low load</x:v>
      </x:c>
    </x:row>
    <x:row r="179">
      <x:c r="A179" s="8" t="str">
        <x:v>折弯 BENDING</x:v>
      </x:c>
      <x:c r="B179" s="9" t="str">
        <x:v>折弯</x:v>
      </x:c>
      <x:c r="C179" s="9" t="str">
        <x:v>施耐德</x:v>
      </x:c>
      <x:c r="D179" s="9"/>
      <x:c r="E179" s="9" t="str">
        <x:v>NLC COVER 450</x:v>
      </x:c>
      <x:c r="F179" s="9"/>
      <x:c r="G179" s="9"/>
      <x:c r="H179" s="12" t="n">
        <x:v>2700</x:v>
      </x:c>
      <x:c r="I179" s="12" t="n">
        <x:v>720</x:v>
      </x:c>
      <x:c r="J179" s="12" t="n">
        <x:v>1</x:v>
      </x:c>
      <x:c r="K179" s="12" t="n">
        <x:f>IFERROR(I179*26*J179,0)</x:f>
        <x:v>18720</x:v>
      </x:c>
      <x:c r="L179" s="12" t="n">
        <x:f>IFERROR(H179/I179,0)</x:f>
        <x:v>3.75</x:v>
      </x:c>
      <x:c r="M179" s="12" t="n">
        <x:f>IFERROR(26*J179,0)</x:f>
        <x:v>26</x:v>
      </x:c>
      <x:c r="N179" s="14" t="n">
        <x:f>IFERROR(L179/M179,0)</x:f>
        <x:v>0.14423076923076922</x:v>
      </x:c>
      <x:c r="O179" s="14" t="n">
        <x:v>0.75</x:v>
      </x:c>
      <x:c r="P179" s="9" t="n">
        <x:v>1</x:v>
      </x:c>
      <x:c r="Q179" s="9"/>
      <x:c r="R179" s="10" t="str">
        <x:f>IF(N179&gt;1,"Over capacity",IF(N179&gt;=0.85,"High load",IF(N179&gt;=0.5,"Normal","Low load")))</x:f>
        <x:v>Low load</x:v>
      </x:c>
    </x:row>
    <x:row r="180">
      <x:c r="A180" s="8" t="str">
        <x:v>折弯 BENDING</x:v>
      </x:c>
      <x:c r="B180" s="9" t="str">
        <x:v>折弯</x:v>
      </x:c>
      <x:c r="C180" s="9" t="str">
        <x:v>施耐德</x:v>
      </x:c>
      <x:c r="D180" s="9"/>
      <x:c r="E180" s="9" t="str">
        <x:v>NLC COVER 600</x:v>
      </x:c>
      <x:c r="F180" s="9"/>
      <x:c r="G180" s="9"/>
      <x:c r="H180" s="12" t="n">
        <x:v>5500</x:v>
      </x:c>
      <x:c r="I180" s="12" t="n">
        <x:v>720</x:v>
      </x:c>
      <x:c r="J180" s="12" t="n">
        <x:v>1</x:v>
      </x:c>
      <x:c r="K180" s="12" t="n">
        <x:f>IFERROR(I180*26*J180,0)</x:f>
        <x:v>18720</x:v>
      </x:c>
      <x:c r="L180" s="12" t="n">
        <x:f>IFERROR(H180/I180,0)</x:f>
        <x:v>7.638888888888889</x:v>
      </x:c>
      <x:c r="M180" s="12" t="n">
        <x:f>IFERROR(26*J180,0)</x:f>
        <x:v>26</x:v>
      </x:c>
      <x:c r="N180" s="14" t="n">
        <x:f>IFERROR(L180/M180,0)</x:f>
        <x:v>0.2938034188034188</x:v>
      </x:c>
      <x:c r="O180" s="14" t="n">
        <x:v>0.75</x:v>
      </x:c>
      <x:c r="P180" s="9" t="n">
        <x:v>1</x:v>
      </x:c>
      <x:c r="Q180" s="9"/>
      <x:c r="R180" s="10" t="str">
        <x:f>IF(N180&gt;1,"Over capacity",IF(N180&gt;=0.85,"High load",IF(N180&gt;=0.5,"Normal","Low load")))</x:f>
        <x:v>Low load</x:v>
      </x:c>
    </x:row>
    <x:row r="181">
      <x:c r="A181" s="8" t="str">
        <x:v>折弯 BENDING</x:v>
      </x:c>
      <x:c r="B181" s="9" t="str">
        <x:v>折弯</x:v>
      </x:c>
      <x:c r="C181" s="9" t="str">
        <x:v>施耐德</x:v>
      </x:c>
      <x:c r="D181" s="9"/>
      <x:c r="E181" s="9" t="str">
        <x:v>NLC COVER 750</x:v>
      </x:c>
      <x:c r="F181" s="9"/>
      <x:c r="G181" s="9"/>
      <x:c r="H181" s="12" t="n">
        <x:v>1500</x:v>
      </x:c>
      <x:c r="I181" s="12" t="n">
        <x:v>720</x:v>
      </x:c>
      <x:c r="J181" s="12" t="n">
        <x:v>1</x:v>
      </x:c>
      <x:c r="K181" s="12" t="n">
        <x:f>IFERROR(I181*26*J181,0)</x:f>
        <x:v>18720</x:v>
      </x:c>
      <x:c r="L181" s="12" t="n">
        <x:f>IFERROR(H181/I181,0)</x:f>
        <x:v>2.0833333333333335</x:v>
      </x:c>
      <x:c r="M181" s="12" t="n">
        <x:f>IFERROR(26*J181,0)</x:f>
        <x:v>26</x:v>
      </x:c>
      <x:c r="N181" s="14" t="n">
        <x:f>IFERROR(L181/M181,0)</x:f>
        <x:v>0.08012820512820513</x:v>
      </x:c>
      <x:c r="O181" s="14" t="n">
        <x:v>0.75</x:v>
      </x:c>
      <x:c r="P181" s="9" t="n">
        <x:v>1</x:v>
      </x:c>
      <x:c r="Q181" s="9"/>
      <x:c r="R181" s="10" t="str">
        <x:f>IF(N181&gt;1,"Over capacity",IF(N181&gt;=0.85,"High load",IF(N181&gt;=0.5,"Normal","Low load")))</x:f>
        <x:v>Low load</x:v>
      </x:c>
    </x:row>
    <x:row r="182">
      <x:c r="A182" s="8" t="str">
        <x:v>折弯 BENDING</x:v>
      </x:c>
      <x:c r="B182" s="9" t="str">
        <x:v>折弯</x:v>
      </x:c>
      <x:c r="C182" s="9" t="str">
        <x:v>施耐德</x:v>
      </x:c>
      <x:c r="D182" s="9"/>
      <x:c r="E182" s="9" t="str">
        <x:v>NLC COVER 900</x:v>
      </x:c>
      <x:c r="F182" s="9"/>
      <x:c r="G182" s="9"/>
      <x:c r="H182" s="12" t="n">
        <x:v>300</x:v>
      </x:c>
      <x:c r="I182" s="12" t="n">
        <x:v>720</x:v>
      </x:c>
      <x:c r="J182" s="12" t="n">
        <x:v>1</x:v>
      </x:c>
      <x:c r="K182" s="12" t="n">
        <x:f>IFERROR(I182*26*J182,0)</x:f>
        <x:v>18720</x:v>
      </x:c>
      <x:c r="L182" s="12" t="n">
        <x:f>IFERROR(H182/I182,0)</x:f>
        <x:v>0.4166666666666667</x:v>
      </x:c>
      <x:c r="M182" s="12" t="n">
        <x:f>IFERROR(26*J182,0)</x:f>
        <x:v>26</x:v>
      </x:c>
      <x:c r="N182" s="14" t="n">
        <x:f>IFERROR(L182/M182,0)</x:f>
        <x:v>0.016025641025641028</x:v>
      </x:c>
      <x:c r="O182" s="14" t="n">
        <x:v>0.75</x:v>
      </x:c>
      <x:c r="P182" s="9" t="n">
        <x:v>1</x:v>
      </x:c>
      <x:c r="Q182" s="9"/>
      <x:c r="R182" s="10" t="str">
        <x:f>IF(N182&gt;1,"Over capacity",IF(N182&gt;=0.85,"High load",IF(N182&gt;=0.5,"Normal","Low load")))</x:f>
        <x:v>Low load</x:v>
      </x:c>
    </x:row>
    <x:row r="183">
      <x:c r="A183" s="8" t="str">
        <x:v>MC Spot welding</x:v>
      </x:c>
      <x:c r="B183" s="9" t="str">
        <x:v>M/C:SW1</x:v>
      </x:c>
      <x:c r="C183" s="9"/>
      <x:c r="D183" s="9"/>
      <x:c r="E183" s="9" t="str">
        <x:v>SPACER PLATE 1</x:v>
      </x:c>
      <x:c r="F183" s="9" t="str">
        <x:v>SB-092-1-4</x:v>
      </x:c>
      <x:c r="G183" s="9"/>
      <x:c r="H183" s="12" t="n">
        <x:v>3000</x:v>
      </x:c>
      <x:c r="I183" s="12" t="n">
        <x:v>800.7</x:v>
      </x:c>
      <x:c r="J183" s="12" t="n">
        <x:v>1</x:v>
      </x:c>
      <x:c r="K183" s="12" t="n">
        <x:f>IFERROR(I183*26*J183,0)</x:f>
        <x:v>20818.2</x:v>
      </x:c>
      <x:c r="L183" s="12" t="n">
        <x:f>IFERROR(H183/I183,0)</x:f>
        <x:v>3.746721618583739</x:v>
      </x:c>
      <x:c r="M183" s="12" t="n">
        <x:f>IFERROR(26*J183,0)</x:f>
        <x:v>26</x:v>
      </x:c>
      <x:c r="N183" s="14" t="n">
        <x:f>IFERROR(L183/M183,0)</x:f>
        <x:v>0.1441046776378361</x:v>
      </x:c>
      <x:c r="O183" s="14" t="n">
        <x:v>0.85</x:v>
      </x:c>
      <x:c r="P183" s="9" t="n">
        <x:v>1</x:v>
      </x:c>
      <x:c r="Q183" s="9"/>
      <x:c r="R183" s="10" t="str">
        <x:f>IF(N183&gt;1,"Over capacity",IF(N183&gt;=0.85,"High load",IF(N183&gt;=0.5,"Normal","Low load")))</x:f>
        <x:v>Low load</x:v>
      </x:c>
    </x:row>
    <x:row r="184">
      <x:c r="A184" s="8" t="str">
        <x:v>MC Spot welding</x:v>
      </x:c>
      <x:c r="B184" s="9" t="str">
        <x:v>M/C:SW1</x:v>
      </x:c>
      <x:c r="C184" s="9"/>
      <x:c r="D184" s="9"/>
      <x:c r="E184" s="9" t="str">
        <x:v>SPACER PLATE 2</x:v>
      </x:c>
      <x:c r="F184" s="9" t="str">
        <x:v>SB-092-1-5</x:v>
      </x:c>
      <x:c r="G184" s="9"/>
      <x:c r="H184" s="12" t="n">
        <x:v>3000</x:v>
      </x:c>
      <x:c r="I184" s="12" t="n">
        <x:v>800.7</x:v>
      </x:c>
      <x:c r="J184" s="12" t="n">
        <x:v>1</x:v>
      </x:c>
      <x:c r="K184" s="12" t="n">
        <x:f>IFERROR(I184*26*J184,0)</x:f>
        <x:v>20818.2</x:v>
      </x:c>
      <x:c r="L184" s="12" t="n">
        <x:f>IFERROR(H184/I184,0)</x:f>
        <x:v>3.746721618583739</x:v>
      </x:c>
      <x:c r="M184" s="12" t="n">
        <x:f>IFERROR(26*J184,0)</x:f>
        <x:v>26</x:v>
      </x:c>
      <x:c r="N184" s="14" t="n">
        <x:f>IFERROR(L184/M184,0)</x:f>
        <x:v>0.1441046776378361</x:v>
      </x:c>
      <x:c r="O184" s="14" t="n">
        <x:v>0.85</x:v>
      </x:c>
      <x:c r="P184" s="9" t="n">
        <x:v>1</x:v>
      </x:c>
      <x:c r="Q184" s="9"/>
      <x:c r="R184" s="10" t="str">
        <x:f>IF(N184&gt;1,"Over capacity",IF(N184&gt;=0.85,"High load",IF(N184&gt;=0.5,"Normal","Low load")))</x:f>
        <x:v>Low load</x:v>
      </x:c>
    </x:row>
    <x:row r="185">
      <x:c r="A185" s="8" t="str">
        <x:v>MC Spot welding</x:v>
      </x:c>
      <x:c r="B185" s="9" t="str">
        <x:v>M/C:SW2</x:v>
      </x:c>
      <x:c r="C185" s="9"/>
      <x:c r="D185" s="9"/>
      <x:c r="E185" s="9" t="str">
        <x:v>UPPER PLATE</x:v>
      </x:c>
      <x:c r="F185" s="9" t="str">
        <x:v>TM-755A-1</x:v>
      </x:c>
      <x:c r="G185" s="9"/>
      <x:c r="H185" s="12" t="n">
        <x:v>120000</x:v>
      </x:c>
      <x:c r="I185" s="12" t="n">
        <x:v>5100</x:v>
      </x:c>
      <x:c r="J185" s="12" t="n">
        <x:v>1</x:v>
      </x:c>
      <x:c r="K185" s="12" t="n">
        <x:f>IFERROR(I185*26*J185,0)</x:f>
        <x:v>132600</x:v>
      </x:c>
      <x:c r="L185" s="12" t="n">
        <x:f>IFERROR(H185/I185,0)</x:f>
        <x:v>23.529411764705884</x:v>
      </x:c>
      <x:c r="M185" s="12" t="n">
        <x:f>IFERROR(26*J185,0)</x:f>
        <x:v>26</x:v>
      </x:c>
      <x:c r="N185" s="14" t="n">
        <x:f>IFERROR(L185/M185,0)</x:f>
        <x:v>0.904977375565611</x:v>
      </x:c>
      <x:c r="O185" s="14" t="n">
        <x:v>0.85</x:v>
      </x:c>
      <x:c r="P185" s="9" t="n">
        <x:v>1</x:v>
      </x:c>
      <x:c r="Q185" s="9"/>
      <x:c r="R185" s="10" t="str">
        <x:f>IF(N185&gt;1,"Over capacity",IF(N185&gt;=0.85,"High load",IF(N185&gt;=0.5,"Normal","Low load")))</x:f>
        <x:v>High load</x:v>
      </x:c>
    </x:row>
    <x:row r="186">
      <x:c r="A186" s="8" t="str">
        <x:v>MC Spot welding</x:v>
      </x:c>
      <x:c r="B186" s="9" t="str">
        <x:v>M/C:SW3</x:v>
      </x:c>
      <x:c r="C186" s="9"/>
      <x:c r="D186" s="9"/>
      <x:c r="E186" s="9" t="str">
        <x:v>CG BASE</x:v>
      </x:c>
      <x:c r="F186" s="9" t="str">
        <x:v>2567475-AA</x:v>
      </x:c>
      <x:c r="G186" s="9"/>
      <x:c r="H186" s="12" t="n">
        <x:v>15000</x:v>
      </x:c>
      <x:c r="I186" s="12" t="n">
        <x:v>872.1</x:v>
      </x:c>
      <x:c r="J186" s="12" t="n">
        <x:v>1</x:v>
      </x:c>
      <x:c r="K186" s="12" t="n">
        <x:f>IFERROR(I186*26*J186,0)</x:f>
        <x:v>22674.600000000002</x:v>
      </x:c>
      <x:c r="L186" s="12" t="n">
        <x:f>IFERROR(H186/I186,0)</x:f>
        <x:v>17.19986240110079</x:v>
      </x:c>
      <x:c r="M186" s="12" t="n">
        <x:f>IFERROR(26*J186,0)</x:f>
        <x:v>26</x:v>
      </x:c>
      <x:c r="N186" s="14" t="n">
        <x:f>IFERROR(L186/M186,0)</x:f>
        <x:v>0.6615331692731073</x:v>
      </x:c>
      <x:c r="O186" s="14" t="n">
        <x:v>0.85</x:v>
      </x:c>
      <x:c r="P186" s="9" t="n">
        <x:v>1</x:v>
      </x:c>
      <x:c r="Q186" s="9"/>
      <x:c r="R186" s="10" t="str">
        <x:f>IF(N186&gt;1,"Over capacity",IF(N186&gt;=0.85,"High load",IF(N186&gt;=0.5,"Normal","Low load")))</x:f>
        <x:v>Normal</x:v>
      </x:c>
    </x:row>
    <x:row r="187">
      <x:c r="A187" s="8" t="str">
        <x:v>MC Spot welding</x:v>
      </x:c>
      <x:c r="B187" s="9" t="str">
        <x:v>M/C:SW3</x:v>
      </x:c>
      <x:c r="C187" s="9"/>
      <x:c r="D187" s="9"/>
      <x:c r="E187" s="9" t="str">
        <x:v>CUP</x:v>
      </x:c>
      <x:c r="F187" s="9" t="str">
        <x:v>TM-818A-1</x:v>
      </x:c>
      <x:c r="G187" s="9"/>
      <x:c r="H187" s="12" t="n">
        <x:v>5000</x:v>
      </x:c>
      <x:c r="I187" s="12" t="n">
        <x:v>1122</x:v>
      </x:c>
      <x:c r="J187" s="12" t="n">
        <x:v>1</x:v>
      </x:c>
      <x:c r="K187" s="12" t="n">
        <x:f>IFERROR(I187*26*J187,0)</x:f>
        <x:v>29172</x:v>
      </x:c>
      <x:c r="L187" s="12" t="n">
        <x:f>IFERROR(H187/I187,0)</x:f>
        <x:v>4.45632798573975</x:v>
      </x:c>
      <x:c r="M187" s="12" t="n">
        <x:f>IFERROR(26*J187,0)</x:f>
        <x:v>26</x:v>
      </x:c>
      <x:c r="N187" s="14" t="n">
        <x:f>IFERROR(L187/M187,0)</x:f>
        <x:v>0.17139723022075962</x:v>
      </x:c>
      <x:c r="O187" s="14" t="n">
        <x:v>0.85</x:v>
      </x:c>
      <x:c r="P187" s="9" t="n">
        <x:v>1</x:v>
      </x:c>
      <x:c r="Q187" s="9"/>
      <x:c r="R187" s="10" t="str">
        <x:f>IF(N187&gt;1,"Over capacity",IF(N187&gt;=0.85,"High load",IF(N187&gt;=0.5,"Normal","Low load")))</x:f>
        <x:v>Low load</x:v>
      </x:c>
    </x:row>
    <x:row r="188">
      <x:c r="A188" s="8" t="str">
        <x:v>MC Spot welding</x:v>
      </x:c>
      <x:c r="B188" s="9" t="str">
        <x:v>M/C:SW3</x:v>
      </x:c>
      <x:c r="C188" s="9"/>
      <x:c r="D188" s="9"/>
      <x:c r="E188" s="9"/>
      <x:c r="F188" s="9" t="str">
        <x:v>5038788-AA</x:v>
      </x:c>
      <x:c r="G188" s="9"/>
      <x:c r="H188" s="12" t="n">
        <x:v>5000</x:v>
      </x:c>
      <x:c r="I188" s="12" t="n">
        <x:v>561</x:v>
      </x:c>
      <x:c r="J188" s="12" t="n">
        <x:v>1</x:v>
      </x:c>
      <x:c r="K188" s="12" t="n">
        <x:f>IFERROR(I188*26*J188,0)</x:f>
        <x:v>14586</x:v>
      </x:c>
      <x:c r="L188" s="12" t="n">
        <x:f>IFERROR(H188/I188,0)</x:f>
        <x:v>8.9126559714795</x:v>
      </x:c>
      <x:c r="M188" s="12" t="n">
        <x:f>IFERROR(26*J188,0)</x:f>
        <x:v>26</x:v>
      </x:c>
      <x:c r="N188" s="14" t="n">
        <x:f>IFERROR(L188/M188,0)</x:f>
        <x:v>0.34279446044151923</x:v>
      </x:c>
      <x:c r="O188" s="14" t="n">
        <x:v>0.85</x:v>
      </x:c>
      <x:c r="P188" s="9" t="n">
        <x:v>1</x:v>
      </x:c>
      <x:c r="Q188" s="9"/>
      <x:c r="R188" s="10" t="str">
        <x:f>IF(N188&gt;1,"Over capacity",IF(N188&gt;=0.85,"High load",IF(N188&gt;=0.5,"Normal","Low load")))</x:f>
        <x:v>Low load</x:v>
      </x:c>
    </x:row>
    <x:row r="189">
      <x:c r="A189" s="8" t="str">
        <x:v>MC Spot welding</x:v>
      </x:c>
      <x:c r="B189" s="9" t="str">
        <x:v>M/C:SW3</x:v>
      </x:c>
      <x:c r="C189" s="9"/>
      <x:c r="D189" s="9"/>
      <x:c r="E189" s="9"/>
      <x:c r="F189" s="9" t="str">
        <x:v>5038789-AA</x:v>
      </x:c>
      <x:c r="G189" s="9"/>
      <x:c r="H189" s="12" t="n">
        <x:v>5000</x:v>
      </x:c>
      <x:c r="I189" s="12" t="n">
        <x:v>1122</x:v>
      </x:c>
      <x:c r="J189" s="12" t="n">
        <x:v>1</x:v>
      </x:c>
      <x:c r="K189" s="12" t="n">
        <x:f>IFERROR(I189*26*J189,0)</x:f>
        <x:v>29172</x:v>
      </x:c>
      <x:c r="L189" s="12" t="n">
        <x:f>IFERROR(H189/I189,0)</x:f>
        <x:v>4.45632798573975</x:v>
      </x:c>
      <x:c r="M189" s="12" t="n">
        <x:f>IFERROR(26*J189,0)</x:f>
        <x:v>26</x:v>
      </x:c>
      <x:c r="N189" s="14" t="n">
        <x:f>IFERROR(L189/M189,0)</x:f>
        <x:v>0.17139723022075962</x:v>
      </x:c>
      <x:c r="O189" s="14" t="n">
        <x:v>0.85</x:v>
      </x:c>
      <x:c r="P189" s="9" t="n">
        <x:v>2</x:v>
      </x:c>
      <x:c r="Q189" s="9"/>
      <x:c r="R189" s="10" t="str">
        <x:f>IF(N189&gt;1,"Over capacity",IF(N189&gt;=0.85,"High load",IF(N189&gt;=0.5,"Normal","Low load")))</x:f>
        <x:v>Low load</x:v>
      </x:c>
    </x:row>
    <x:row r="190">
      <x:c r="A190" s="8" t="str">
        <x:v>MC Spot welding</x:v>
      </x:c>
      <x:c r="B190" s="9" t="str">
        <x:v>M/C:SW4</x:v>
      </x:c>
      <x:c r="C190" s="9"/>
      <x:c r="D190" s="9"/>
      <x:c r="E190" s="9" t="str">
        <x:v>Matal Box(NMS)</x:v>
      </x:c>
      <x:c r="F190" s="9" t="str">
        <x:v>BRU30887</x:v>
      </x:c>
      <x:c r="G190" s="9" t="str">
        <x:v>4 /6 WAY</x:v>
      </x:c>
      <x:c r="H190" s="12" t="n">
        <x:v>5700</x:v>
      </x:c>
      <x:c r="I190" s="12" t="n">
        <x:v>765</x:v>
      </x:c>
      <x:c r="J190" s="12" t="n">
        <x:v>1</x:v>
      </x:c>
      <x:c r="K190" s="12" t="n">
        <x:f>IFERROR(I190*26*J190,0)</x:f>
        <x:v>19890</x:v>
      </x:c>
      <x:c r="L190" s="12" t="n">
        <x:f>IFERROR(H190/I190,0)</x:f>
        <x:v>7.450980392156863</x:v>
      </x:c>
      <x:c r="M190" s="12" t="n">
        <x:f>IFERROR(26*J190,0)</x:f>
        <x:v>26</x:v>
      </x:c>
      <x:c r="N190" s="14" t="n">
        <x:f>IFERROR(L190/M190,0)</x:f>
        <x:v>0.2865761689291101</x:v>
      </x:c>
      <x:c r="O190" s="14" t="n">
        <x:v>0.85</x:v>
      </x:c>
      <x:c r="P190" s="9" t="n">
        <x:v>1</x:v>
      </x:c>
      <x:c r="Q190" s="9"/>
      <x:c r="R190" s="10" t="str">
        <x:f>IF(N190&gt;1,"Over capacity",IF(N190&gt;=0.85,"High load",IF(N190&gt;=0.5,"Normal","Low load")))</x:f>
        <x:v>Low load</x:v>
      </x:c>
    </x:row>
    <x:row r="191">
      <x:c r="A191" s="8" t="str">
        <x:v>MC Spot welding</x:v>
      </x:c>
      <x:c r="B191" s="9" t="str">
        <x:v>M/C:SW4</x:v>
      </x:c>
      <x:c r="C191" s="9"/>
      <x:c r="D191" s="9"/>
      <x:c r="E191" s="9"/>
      <x:c r="F191" s="9" t="str">
        <x:v>BRU30888</x:v>
      </x:c>
      <x:c r="G191" s="9" t="str">
        <x:v>8 / 10 WAY</x:v>
      </x:c>
      <x:c r="H191" s="12" t="n">
        <x:v>3500</x:v>
      </x:c>
      <x:c r="I191" s="12" t="n">
        <x:v>765</x:v>
      </x:c>
      <x:c r="J191" s="12" t="n">
        <x:v>1</x:v>
      </x:c>
      <x:c r="K191" s="12" t="n">
        <x:f>IFERROR(I191*26*J191,0)</x:f>
        <x:v>19890</x:v>
      </x:c>
      <x:c r="L191" s="12" t="n">
        <x:f>IFERROR(H191/I191,0)</x:f>
        <x:v>4.57516339869281</x:v>
      </x:c>
      <x:c r="M191" s="12" t="n">
        <x:f>IFERROR(26*J191,0)</x:f>
        <x:v>26</x:v>
      </x:c>
      <x:c r="N191" s="14" t="n">
        <x:f>IFERROR(L191/M191,0)</x:f>
        <x:v>0.17596782302664654</x:v>
      </x:c>
      <x:c r="O191" s="14" t="n">
        <x:v>0.85</x:v>
      </x:c>
      <x:c r="P191" s="9" t="n">
        <x:v>1</x:v>
      </x:c>
      <x:c r="Q191" s="9"/>
      <x:c r="R191" s="10" t="str">
        <x:f>IF(N191&gt;1,"Over capacity",IF(N191&gt;=0.85,"High load",IF(N191&gt;=0.5,"Normal","Low load")))</x:f>
        <x:v>Low load</x:v>
      </x:c>
    </x:row>
    <x:row r="192">
      <x:c r="A192" s="8" t="str">
        <x:v>MC Spot welding</x:v>
      </x:c>
      <x:c r="B192" s="9" t="str">
        <x:v>M/C:SW4</x:v>
      </x:c>
      <x:c r="C192" s="9"/>
      <x:c r="D192" s="9"/>
      <x:c r="E192" s="9"/>
      <x:c r="F192" s="9" t="str">
        <x:v>BRU30889</x:v>
      </x:c>
      <x:c r="G192" s="9" t="str">
        <x:v>14WAY</x:v>
      </x:c>
      <x:c r="H192" s="12" t="n">
        <x:v>1000</x:v>
      </x:c>
      <x:c r="I192" s="12" t="n">
        <x:v>765</x:v>
      </x:c>
      <x:c r="J192" s="12" t="n">
        <x:v>1</x:v>
      </x:c>
      <x:c r="K192" s="12" t="n">
        <x:f>IFERROR(I192*26*J192,0)</x:f>
        <x:v>19890</x:v>
      </x:c>
      <x:c r="L192" s="12" t="n">
        <x:f>IFERROR(H192/I192,0)</x:f>
        <x:v>1.3071895424836601</x:v>
      </x:c>
      <x:c r="M192" s="12" t="n">
        <x:f>IFERROR(26*J192,0)</x:f>
        <x:v>26</x:v>
      </x:c>
      <x:c r="N192" s="14" t="n">
        <x:f>IFERROR(L192/M192,0)</x:f>
        <x:v>0.05027652086475616</x:v>
      </x:c>
      <x:c r="O192" s="14" t="n">
        <x:v>0.85</x:v>
      </x:c>
      <x:c r="P192" s="9" t="n">
        <x:v>1</x:v>
      </x:c>
      <x:c r="Q192" s="9"/>
      <x:c r="R192" s="10" t="str">
        <x:f>IF(N192&gt;1,"Over capacity",IF(N192&gt;=0.85,"High load",IF(N192&gt;=0.5,"Normal","Low load")))</x:f>
        <x:v>Low load</x:v>
      </x:c>
    </x:row>
    <x:row r="193">
      <x:c r="A193" s="8" t="str">
        <x:v>MC Spot welding</x:v>
      </x:c>
      <x:c r="B193" s="9" t="str">
        <x:v>M/C:SW4</x:v>
      </x:c>
      <x:c r="C193" s="9"/>
      <x:c r="D193" s="9"/>
      <x:c r="E193" s="9" t="str">
        <x:v>Matal Box(Cu)</x:v>
      </x:c>
      <x:c r="F193" s="9" t="str">
        <x:v>NVE96520</x:v>
      </x:c>
      <x:c r="G193" s="9" t="str">
        <x:v>2+4，6 WAY</x:v>
      </x:c>
      <x:c r="H193" s="12" t="n">
        <x:v>2000</x:v>
      </x:c>
      <x:c r="I193" s="12" t="n">
        <x:v>459</x:v>
      </x:c>
      <x:c r="J193" s="12" t="n">
        <x:v>1</x:v>
      </x:c>
      <x:c r="K193" s="12" t="n">
        <x:f>IFERROR(I193*26*J193,0)</x:f>
        <x:v>11934</x:v>
      </x:c>
      <x:c r="L193" s="12" t="n">
        <x:f>IFERROR(H193/I193,0)</x:f>
        <x:v>4.357298474945534</x:v>
      </x:c>
      <x:c r="M193" s="12" t="n">
        <x:f>IFERROR(26*J193,0)</x:f>
        <x:v>26</x:v>
      </x:c>
      <x:c r="N193" s="14" t="n">
        <x:f>IFERROR(L193/M193,0)</x:f>
        <x:v>0.16758840288252053</x:v>
      </x:c>
      <x:c r="O193" s="14" t="n">
        <x:v>0.85</x:v>
      </x:c>
      <x:c r="P193" s="9" t="n">
        <x:v>1</x:v>
      </x:c>
      <x:c r="Q193" s="9"/>
      <x:c r="R193" s="10" t="str">
        <x:f>IF(N193&gt;1,"Over capacity",IF(N193&gt;=0.85,"High load",IF(N193&gt;=0.5,"Normal","Low load")))</x:f>
        <x:v>Low load</x:v>
      </x:c>
    </x:row>
    <x:row r="194">
      <x:c r="A194" s="8" t="str">
        <x:v>MC Spot welding</x:v>
      </x:c>
      <x:c r="B194" s="9" t="str">
        <x:v>M/C:SW4</x:v>
      </x:c>
      <x:c r="C194" s="9"/>
      <x:c r="D194" s="9"/>
      <x:c r="E194" s="9"/>
      <x:c r="F194" s="9" t="str">
        <x:v>NVE96528</x:v>
      </x:c>
      <x:c r="G194" s="9" t="str">
        <x:v>BOX 2+10，10 WAY</x:v>
      </x:c>
      <x:c r="H194" s="12" t="n">
        <x:v>700</x:v>
      </x:c>
      <x:c r="I194" s="12" t="n">
        <x:v>459</x:v>
      </x:c>
      <x:c r="J194" s="12" t="n">
        <x:v>1</x:v>
      </x:c>
      <x:c r="K194" s="12" t="n">
        <x:f>IFERROR(I194*26*J194,0)</x:f>
        <x:v>11934</x:v>
      </x:c>
      <x:c r="L194" s="12" t="n">
        <x:f>IFERROR(H194/I194,0)</x:f>
        <x:v>1.5250544662309369</x:v>
      </x:c>
      <x:c r="M194" s="12" t="n">
        <x:f>IFERROR(26*J194,0)</x:f>
        <x:v>26</x:v>
      </x:c>
      <x:c r="N194" s="14" t="n">
        <x:f>IFERROR(L194/M194,0)</x:f>
        <x:v>0.05865594100888219</x:v>
      </x:c>
      <x:c r="O194" s="14" t="n">
        <x:v>0.85</x:v>
      </x:c>
      <x:c r="P194" s="9" t="n">
        <x:v>1</x:v>
      </x:c>
      <x:c r="Q194" s="9"/>
      <x:c r="R194" s="10" t="str">
        <x:f>IF(N194&gt;1,"Over capacity",IF(N194&gt;=0.85,"High load",IF(N194&gt;=0.5,"Normal","Low load")))</x:f>
        <x:v>Low load</x:v>
      </x:c>
    </x:row>
    <x:row r="195">
      <x:c r="A195" s="8" t="str">
        <x:v>MC Spot welding</x:v>
      </x:c>
      <x:c r="B195" s="9" t="str">
        <x:v>M/C:SW4</x:v>
      </x:c>
      <x:c r="C195" s="9"/>
      <x:c r="D195" s="9"/>
      <x:c r="E195" s="9"/>
      <x:c r="F195" s="9" t="str">
        <x:v>NVE96535</x:v>
      </x:c>
      <x:c r="G195" s="9" t="str">
        <x:v>BOX 2+14，14 WAY</x:v>
      </x:c>
      <x:c r="H195" s="12" t="n">
        <x:v>2700</x:v>
      </x:c>
      <x:c r="I195" s="12" t="n">
        <x:v>459</x:v>
      </x:c>
      <x:c r="J195" s="12" t="n">
        <x:v>1</x:v>
      </x:c>
      <x:c r="K195" s="12" t="n">
        <x:f>IFERROR(I195*26*J195,0)</x:f>
        <x:v>11934</x:v>
      </x:c>
      <x:c r="L195" s="12" t="n">
        <x:f>IFERROR(H195/I195,0)</x:f>
        <x:v>5.882352941176471</x:v>
      </x:c>
      <x:c r="M195" s="12" t="n">
        <x:f>IFERROR(26*J195,0)</x:f>
        <x:v>26</x:v>
      </x:c>
      <x:c r="N195" s="14" t="n">
        <x:f>IFERROR(L195/M195,0)</x:f>
        <x:v>0.22624434389140274</x:v>
      </x:c>
      <x:c r="O195" s="14" t="n">
        <x:v>0.85</x:v>
      </x:c>
      <x:c r="P195" s="9" t="n">
        <x:v>1</x:v>
      </x:c>
      <x:c r="Q195" s="9"/>
      <x:c r="R195" s="10" t="str">
        <x:f>IF(N195&gt;1,"Over capacity",IF(N195&gt;=0.85,"High load",IF(N195&gt;=0.5,"Normal","Low load")))</x:f>
        <x:v>Low load</x:v>
      </x:c>
    </x:row>
    <x:row r="196">
      <x:c r="A196" s="8" t="str">
        <x:v>MC Spot welding</x:v>
      </x:c>
      <x:c r="B196" s="9" t="str">
        <x:v>M/C:SW4</x:v>
      </x:c>
      <x:c r="C196" s="9"/>
      <x:c r="D196" s="9"/>
      <x:c r="E196" s="9"/>
      <x:c r="F196" s="9" t="str">
        <x:v>NVE96543</x:v>
      </x:c>
      <x:c r="G196" s="9" t="str">
        <x:v>BOX 2+18，18 WAY</x:v>
      </x:c>
      <x:c r="H196" s="12" t="n">
        <x:v>100</x:v>
      </x:c>
      <x:c r="I196" s="12" t="n">
        <x:v>459</x:v>
      </x:c>
      <x:c r="J196" s="12" t="n">
        <x:v>1</x:v>
      </x:c>
      <x:c r="K196" s="12" t="n">
        <x:f>IFERROR(I196*26*J196,0)</x:f>
        <x:v>11934</x:v>
      </x:c>
      <x:c r="L196" s="12" t="n">
        <x:f>IFERROR(H196/I196,0)</x:f>
        <x:v>0.2178649237472767</x:v>
      </x:c>
      <x:c r="M196" s="12" t="n">
        <x:f>IFERROR(26*J196,0)</x:f>
        <x:v>26</x:v>
      </x:c>
      <x:c r="N196" s="14" t="n">
        <x:f>IFERROR(L196/M196,0)</x:f>
        <x:v>0.008379420144126027</x:v>
      </x:c>
      <x:c r="O196" s="14" t="n">
        <x:v>0.85</x:v>
      </x:c>
      <x:c r="P196" s="9" t="n">
        <x:v>1</x:v>
      </x:c>
      <x:c r="Q196" s="9"/>
      <x:c r="R196" s="10" t="str">
        <x:f>IF(N196&gt;1,"Over capacity",IF(N196&gt;=0.85,"High load",IF(N196&gt;=0.5,"Normal","Low load")))</x:f>
        <x:v>Low load</x:v>
      </x:c>
    </x:row>
    <x:row r="197">
      <x:c r="A197" s="8" t="str">
        <x:v>MC Spot welding</x:v>
      </x:c>
      <x:c r="B197" s="9" t="str">
        <x:v>M/C:SW5</x:v>
      </x:c>
      <x:c r="C197" s="9"/>
      <x:c r="D197" s="9"/>
      <x:c r="E197" s="9" t="str">
        <x:v>CU Cover</x:v>
      </x:c>
      <x:c r="F197" s="9" t="str">
        <x:v>NVE96519</x:v>
      </x:c>
      <x:c r="G197" s="9"/>
      <x:c r="H197" s="12" t="n">
        <x:v>2000</x:v>
      </x:c>
      <x:c r="I197" s="12" t="n">
        <x:v>459</x:v>
      </x:c>
      <x:c r="J197" s="12" t="n">
        <x:v>1</x:v>
      </x:c>
      <x:c r="K197" s="12" t="n">
        <x:f>IFERROR(I197*26*J197,0)</x:f>
        <x:v>11934</x:v>
      </x:c>
      <x:c r="L197" s="12" t="n">
        <x:f>IFERROR(H197/I197,0)</x:f>
        <x:v>4.357298474945534</x:v>
      </x:c>
      <x:c r="M197" s="12" t="n">
        <x:f>IFERROR(26*J197,0)</x:f>
        <x:v>26</x:v>
      </x:c>
      <x:c r="N197" s="14" t="n">
        <x:f>IFERROR(L197/M197,0)</x:f>
        <x:v>0.16758840288252053</x:v>
      </x:c>
      <x:c r="O197" s="14" t="n">
        <x:v>0.85</x:v>
      </x:c>
      <x:c r="P197" s="9" t="n">
        <x:v>1</x:v>
      </x:c>
      <x:c r="Q197" s="9"/>
      <x:c r="R197" s="10" t="str">
        <x:f>IF(N197&gt;1,"Over capacity",IF(N197&gt;=0.85,"High load",IF(N197&gt;=0.5,"Normal","Low load")))</x:f>
        <x:v>Low load</x:v>
      </x:c>
    </x:row>
    <x:row r="198">
      <x:c r="A198" s="8" t="str">
        <x:v>MC Spot welding</x:v>
      </x:c>
      <x:c r="B198" s="9" t="str">
        <x:v>M/C:SW5</x:v>
      </x:c>
      <x:c r="C198" s="9"/>
      <x:c r="D198" s="9"/>
      <x:c r="E198" s="9"/>
      <x:c r="F198" s="9" t="str">
        <x:v>NVE96526</x:v>
      </x:c>
      <x:c r="G198" s="9"/>
      <x:c r="H198" s="12" t="n">
        <x:v>700</x:v>
      </x:c>
      <x:c r="I198" s="12" t="n">
        <x:v>459</x:v>
      </x:c>
      <x:c r="J198" s="12" t="n">
        <x:v>1</x:v>
      </x:c>
      <x:c r="K198" s="12" t="n">
        <x:f>IFERROR(I198*26*J198,0)</x:f>
        <x:v>11934</x:v>
      </x:c>
      <x:c r="L198" s="12" t="n">
        <x:f>IFERROR(H198/I198,0)</x:f>
        <x:v>1.5250544662309369</x:v>
      </x:c>
      <x:c r="M198" s="12" t="n">
        <x:f>IFERROR(26*J198,0)</x:f>
        <x:v>26</x:v>
      </x:c>
      <x:c r="N198" s="14" t="n">
        <x:f>IFERROR(L198/M198,0)</x:f>
        <x:v>0.05865594100888219</x:v>
      </x:c>
      <x:c r="O198" s="14" t="n">
        <x:v>0.85</x:v>
      </x:c>
      <x:c r="P198" s="9" t="n">
        <x:v>1</x:v>
      </x:c>
      <x:c r="Q198" s="9"/>
      <x:c r="R198" s="10" t="str">
        <x:f>IF(N198&gt;1,"Over capacity",IF(N198&gt;=0.85,"High load",IF(N198&gt;=0.5,"Normal","Low load")))</x:f>
        <x:v>Low load</x:v>
      </x:c>
    </x:row>
    <x:row r="199">
      <x:c r="A199" s="8" t="str">
        <x:v>MC Spot welding</x:v>
      </x:c>
      <x:c r="B199" s="9" t="str">
        <x:v>M/C:SW5</x:v>
      </x:c>
      <x:c r="C199" s="9"/>
      <x:c r="D199" s="9"/>
      <x:c r="E199" s="9"/>
      <x:c r="F199" s="9" t="str">
        <x:v>NVE96533</x:v>
      </x:c>
      <x:c r="G199" s="9"/>
      <x:c r="H199" s="12" t="n">
        <x:v>2700</x:v>
      </x:c>
      <x:c r="I199" s="12" t="n">
        <x:v>459</x:v>
      </x:c>
      <x:c r="J199" s="12" t="n">
        <x:v>1</x:v>
      </x:c>
      <x:c r="K199" s="12" t="n">
        <x:f>IFERROR(I199*26*J199,0)</x:f>
        <x:v>11934</x:v>
      </x:c>
      <x:c r="L199" s="12" t="n">
        <x:f>IFERROR(H199/I199,0)</x:f>
        <x:v>5.882352941176471</x:v>
      </x:c>
      <x:c r="M199" s="12" t="n">
        <x:f>IFERROR(26*J199,0)</x:f>
        <x:v>26</x:v>
      </x:c>
      <x:c r="N199" s="14" t="n">
        <x:f>IFERROR(L199/M199,0)</x:f>
        <x:v>0.22624434389140274</x:v>
      </x:c>
      <x:c r="O199" s="14" t="n">
        <x:v>0.85</x:v>
      </x:c>
      <x:c r="P199" s="9" t="n">
        <x:v>1</x:v>
      </x:c>
      <x:c r="Q199" s="9"/>
      <x:c r="R199" s="10" t="str">
        <x:f>IF(N199&gt;1,"Over capacity",IF(N199&gt;=0.85,"High load",IF(N199&gt;=0.5,"Normal","Low load")))</x:f>
        <x:v>Low load</x:v>
      </x:c>
    </x:row>
    <x:row r="200">
      <x:c r="A200" s="8" t="str">
        <x:v>MC Spot welding</x:v>
      </x:c>
      <x:c r="B200" s="9" t="str">
        <x:v>M/C:SW5</x:v>
      </x:c>
      <x:c r="C200" s="9"/>
      <x:c r="D200" s="9"/>
      <x:c r="E200" s="9"/>
      <x:c r="F200" s="9" t="str">
        <x:v>NVE96542</x:v>
      </x:c>
      <x:c r="G200" s="9"/>
      <x:c r="H200" s="12" t="n">
        <x:v>100</x:v>
      </x:c>
      <x:c r="I200" s="12" t="n">
        <x:v>459</x:v>
      </x:c>
      <x:c r="J200" s="12" t="n">
        <x:v>1</x:v>
      </x:c>
      <x:c r="K200" s="12" t="n">
        <x:f>IFERROR(I200*26*J200,0)</x:f>
        <x:v>11934</x:v>
      </x:c>
      <x:c r="L200" s="12" t="n">
        <x:f>IFERROR(H200/I200,0)</x:f>
        <x:v>0.2178649237472767</x:v>
      </x:c>
      <x:c r="M200" s="12" t="n">
        <x:f>IFERROR(26*J200,0)</x:f>
        <x:v>26</x:v>
      </x:c>
      <x:c r="N200" s="14" t="n">
        <x:f>IFERROR(L200/M200,0)</x:f>
        <x:v>0.008379420144126027</x:v>
      </x:c>
      <x:c r="O200" s="14" t="n">
        <x:v>0.85</x:v>
      </x:c>
      <x:c r="P200" s="9" t="n">
        <x:v>1</x:v>
      </x:c>
      <x:c r="Q200" s="9"/>
      <x:c r="R200" s="10" t="str">
        <x:f>IF(N200&gt;1,"Over capacity",IF(N200&gt;=0.85,"High load",IF(N200&gt;=0.5,"Normal","Low load")))</x:f>
        <x:v>Low load</x:v>
      </x:c>
    </x:row>
    <x:row r="201">
      <x:c r="A201" s="8" t="str">
        <x:v>MC Spot welding</x:v>
      </x:c>
      <x:c r="B201" s="9" t="str">
        <x:v>M/C:SW6</x:v>
      </x:c>
      <x:c r="C201" s="9"/>
      <x:c r="D201" s="9"/>
      <x:c r="E201" s="9" t="str">
        <x:v>NLC Door</x:v>
      </x:c>
      <x:c r="F201" s="9" t="str">
        <x:v>BRU53743</x:v>
      </x:c>
      <x:c r="G201" s="9" t="str">
        <x:v>Door 450mm</x:v>
      </x:c>
      <x:c r="H201" s="12" t="n">
        <x:v>2700</x:v>
      </x:c>
      <x:c r="I201" s="12" t="n">
        <x:v>510</x:v>
      </x:c>
      <x:c r="J201" s="12" t="n">
        <x:v>1</x:v>
      </x:c>
      <x:c r="K201" s="12" t="n">
        <x:f>IFERROR(I201*26*J201,0)</x:f>
        <x:v>13260</x:v>
      </x:c>
      <x:c r="L201" s="12" t="n">
        <x:f>IFERROR(H201/I201,0)</x:f>
        <x:v>5.294117647058823</x:v>
      </x:c>
      <x:c r="M201" s="12" t="n">
        <x:f>IFERROR(26*J201,0)</x:f>
        <x:v>26</x:v>
      </x:c>
      <x:c r="N201" s="14" t="n">
        <x:f>IFERROR(L201/M201,0)</x:f>
        <x:v>0.20361990950226244</x:v>
      </x:c>
      <x:c r="O201" s="14" t="n">
        <x:v>0.85</x:v>
      </x:c>
      <x:c r="P201" s="9" t="n">
        <x:v>1</x:v>
      </x:c>
      <x:c r="Q201" s="9"/>
      <x:c r="R201" s="10" t="str">
        <x:f>IF(N201&gt;1,"Over capacity",IF(N201&gt;=0.85,"High load",IF(N201&gt;=0.5,"Normal","Low load")))</x:f>
        <x:v>Low load</x:v>
      </x:c>
    </x:row>
    <x:row r="202">
      <x:c r="A202" s="8" t="str">
        <x:v>MC Spot welding</x:v>
      </x:c>
      <x:c r="B202" s="9" t="str">
        <x:v>M/C:SW6</x:v>
      </x:c>
      <x:c r="C202" s="9"/>
      <x:c r="D202" s="9"/>
      <x:c r="E202" s="9"/>
      <x:c r="F202" s="9" t="str">
        <x:v>BRU53744</x:v>
      </x:c>
      <x:c r="G202" s="9" t="str">
        <x:v>Door 600mm</x:v>
      </x:c>
      <x:c r="H202" s="12" t="n">
        <x:v>5500</x:v>
      </x:c>
      <x:c r="I202" s="12" t="n">
        <x:v>510</x:v>
      </x:c>
      <x:c r="J202" s="12" t="n">
        <x:v>1</x:v>
      </x:c>
      <x:c r="K202" s="12" t="n">
        <x:f>IFERROR(I202*26*J202,0)</x:f>
        <x:v>13260</x:v>
      </x:c>
      <x:c r="L202" s="12" t="n">
        <x:f>IFERROR(H202/I202,0)</x:f>
        <x:v>10.784313725490197</x:v>
      </x:c>
      <x:c r="M202" s="12" t="n">
        <x:f>IFERROR(26*J202,0)</x:f>
        <x:v>26</x:v>
      </x:c>
      <x:c r="N202" s="14" t="n">
        <x:f>IFERROR(L202/M202,0)</x:f>
        <x:v>0.41478129713423834</x:v>
      </x:c>
      <x:c r="O202" s="14" t="n">
        <x:v>0.85</x:v>
      </x:c>
      <x:c r="P202" s="9" t="n">
        <x:v>1</x:v>
      </x:c>
      <x:c r="Q202" s="9"/>
      <x:c r="R202" s="10" t="str">
        <x:f>IF(N202&gt;1,"Over capacity",IF(N202&gt;=0.85,"High load",IF(N202&gt;=0.5,"Normal","Low load")))</x:f>
        <x:v>Low load</x:v>
      </x:c>
    </x:row>
    <x:row r="203">
      <x:c r="A203" s="8" t="str">
        <x:v>MC Spot welding</x:v>
      </x:c>
      <x:c r="B203" s="9" t="str">
        <x:v>M/C:SW6</x:v>
      </x:c>
      <x:c r="C203" s="9"/>
      <x:c r="D203" s="9"/>
      <x:c r="E203" s="9"/>
      <x:c r="F203" s="9" t="str">
        <x:v>BRU53747</x:v>
      </x:c>
      <x:c r="G203" s="9" t="str">
        <x:v>Door 750mm</x:v>
      </x:c>
      <x:c r="H203" s="12" t="n">
        <x:v>1500</x:v>
      </x:c>
      <x:c r="I203" s="12" t="n">
        <x:v>510</x:v>
      </x:c>
      <x:c r="J203" s="12" t="n">
        <x:v>1</x:v>
      </x:c>
      <x:c r="K203" s="12" t="n">
        <x:f>IFERROR(I203*26*J203,0)</x:f>
        <x:v>13260</x:v>
      </x:c>
      <x:c r="L203" s="12" t="n">
        <x:f>IFERROR(H203/I203,0)</x:f>
        <x:v>2.9411764705882355</x:v>
      </x:c>
      <x:c r="M203" s="12" t="n">
        <x:f>IFERROR(26*J203,0)</x:f>
        <x:v>26</x:v>
      </x:c>
      <x:c r="N203" s="14" t="n">
        <x:f>IFERROR(L203/M203,0)</x:f>
        <x:v>0.11312217194570137</x:v>
      </x:c>
      <x:c r="O203" s="14" t="n">
        <x:v>0.85</x:v>
      </x:c>
      <x:c r="P203" s="9" t="n">
        <x:v>1</x:v>
      </x:c>
      <x:c r="Q203" s="9"/>
      <x:c r="R203" s="10" t="str">
        <x:f>IF(N203&gt;1,"Over capacity",IF(N203&gt;=0.85,"High load",IF(N203&gt;=0.5,"Normal","Low load")))</x:f>
        <x:v>Low load</x:v>
      </x:c>
    </x:row>
    <x:row r="204">
      <x:c r="A204" s="8" t="str">
        <x:v>MC Spot welding</x:v>
      </x:c>
      <x:c r="B204" s="9" t="str">
        <x:v>M/C:SW6</x:v>
      </x:c>
      <x:c r="C204" s="9"/>
      <x:c r="D204" s="9"/>
      <x:c r="E204" s="9"/>
      <x:c r="F204" s="9" t="str">
        <x:v>BRU53749</x:v>
      </x:c>
      <x:c r="G204" s="9" t="str">
        <x:v>Door 900mm</x:v>
      </x:c>
      <x:c r="H204" s="12" t="n">
        <x:v>300</x:v>
      </x:c>
      <x:c r="I204" s="12" t="n">
        <x:v>510</x:v>
      </x:c>
      <x:c r="J204" s="12" t="n">
        <x:v>1</x:v>
      </x:c>
      <x:c r="K204" s="12" t="n">
        <x:f>IFERROR(I204*26*J204,0)</x:f>
        <x:v>13260</x:v>
      </x:c>
      <x:c r="L204" s="12" t="n">
        <x:f>IFERROR(H204/I204,0)</x:f>
        <x:v>0.5882352941176471</x:v>
      </x:c>
      <x:c r="M204" s="12" t="n">
        <x:f>IFERROR(26*J204,0)</x:f>
        <x:v>26</x:v>
      </x:c>
      <x:c r="N204" s="14" t="n">
        <x:f>IFERROR(L204/M204,0)</x:f>
        <x:v>0.02262443438914027</x:v>
      </x:c>
      <x:c r="O204" s="14" t="n">
        <x:v>0.85</x:v>
      </x:c>
      <x:c r="P204" s="9" t="n">
        <x:v>1</x:v>
      </x:c>
      <x:c r="Q204" s="9"/>
      <x:c r="R204" s="10" t="str">
        <x:f>IF(N204&gt;1,"Over capacity",IF(N204&gt;=0.85,"High load",IF(N204&gt;=0.5,"Normal","Low load")))</x:f>
        <x:v>Low load</x:v>
      </x:c>
    </x:row>
    <x:row r="205">
      <x:c r="A205" s="8" t="str">
        <x:v>MC Spot welding</x:v>
      </x:c>
      <x:c r="B205" s="9" t="str">
        <x:v>M/C:SW7</x:v>
      </x:c>
      <x:c r="C205" s="9"/>
      <x:c r="D205" s="9"/>
      <x:c r="E205" s="9"/>
      <x:c r="F205" s="9" t="str">
        <x:v>BRU53743</x:v>
      </x:c>
      <x:c r="G205" s="9" t="str">
        <x:v>Door 450mm</x:v>
      </x:c>
      <x:c r="H205" s="12" t="n">
        <x:v>2700</x:v>
      </x:c>
      <x:c r="I205" s="12" t="n">
        <x:v>510</x:v>
      </x:c>
      <x:c r="J205" s="12" t="n">
        <x:v>1</x:v>
      </x:c>
      <x:c r="K205" s="12" t="n">
        <x:f>IFERROR(I205*26*J205,0)</x:f>
        <x:v>13260</x:v>
      </x:c>
      <x:c r="L205" s="12" t="n">
        <x:f>IFERROR(H205/I205,0)</x:f>
        <x:v>5.294117647058823</x:v>
      </x:c>
      <x:c r="M205" s="12" t="n">
        <x:f>IFERROR(26*J205,0)</x:f>
        <x:v>26</x:v>
      </x:c>
      <x:c r="N205" s="14" t="n">
        <x:f>IFERROR(L205/M205,0)</x:f>
        <x:v>0.20361990950226244</x:v>
      </x:c>
      <x:c r="O205" s="14" t="n">
        <x:v>0.85</x:v>
      </x:c>
      <x:c r="P205" s="9" t="n">
        <x:v>1</x:v>
      </x:c>
      <x:c r="Q205" s="9"/>
      <x:c r="R205" s="10" t="str">
        <x:f>IF(N205&gt;1,"Over capacity",IF(N205&gt;=0.85,"High load",IF(N205&gt;=0.5,"Normal","Low load")))</x:f>
        <x:v>Low load</x:v>
      </x:c>
    </x:row>
    <x:row r="206">
      <x:c r="A206" s="8" t="str">
        <x:v>MC Spot welding</x:v>
      </x:c>
      <x:c r="B206" s="9" t="str">
        <x:v>M/C:SW7</x:v>
      </x:c>
      <x:c r="C206" s="9"/>
      <x:c r="D206" s="9"/>
      <x:c r="E206" s="9"/>
      <x:c r="F206" s="9" t="str">
        <x:v>BRU53744</x:v>
      </x:c>
      <x:c r="G206" s="9" t="str">
        <x:v>Door 600mm</x:v>
      </x:c>
      <x:c r="H206" s="12" t="n">
        <x:v>5500</x:v>
      </x:c>
      <x:c r="I206" s="12" t="n">
        <x:v>510</x:v>
      </x:c>
      <x:c r="J206" s="12" t="n">
        <x:v>1</x:v>
      </x:c>
      <x:c r="K206" s="12" t="n">
        <x:f>IFERROR(I206*26*J206,0)</x:f>
        <x:v>13260</x:v>
      </x:c>
      <x:c r="L206" s="12" t="n">
        <x:f>IFERROR(H206/I206,0)</x:f>
        <x:v>10.784313725490197</x:v>
      </x:c>
      <x:c r="M206" s="12" t="n">
        <x:f>IFERROR(26*J206,0)</x:f>
        <x:v>26</x:v>
      </x:c>
      <x:c r="N206" s="14" t="n">
        <x:f>IFERROR(L206/M206,0)</x:f>
        <x:v>0.41478129713423834</x:v>
      </x:c>
      <x:c r="O206" s="14" t="n">
        <x:v>0.85</x:v>
      </x:c>
      <x:c r="P206" s="9" t="n">
        <x:v>1</x:v>
      </x:c>
      <x:c r="Q206" s="9"/>
      <x:c r="R206" s="10" t="str">
        <x:f>IF(N206&gt;1,"Over capacity",IF(N206&gt;=0.85,"High load",IF(N206&gt;=0.5,"Normal","Low load")))</x:f>
        <x:v>Low load</x:v>
      </x:c>
    </x:row>
    <x:row r="207">
      <x:c r="A207" s="8" t="str">
        <x:v>MC Spot welding</x:v>
      </x:c>
      <x:c r="B207" s="9" t="str">
        <x:v>M/C:SW7</x:v>
      </x:c>
      <x:c r="C207" s="9"/>
      <x:c r="D207" s="9"/>
      <x:c r="E207" s="9"/>
      <x:c r="F207" s="9" t="str">
        <x:v>BRU53747</x:v>
      </x:c>
      <x:c r="G207" s="9" t="str">
        <x:v>Door 750mm</x:v>
      </x:c>
      <x:c r="H207" s="12" t="n">
        <x:v>1500</x:v>
      </x:c>
      <x:c r="I207" s="12" t="n">
        <x:v>510</x:v>
      </x:c>
      <x:c r="J207" s="12" t="n">
        <x:v>1</x:v>
      </x:c>
      <x:c r="K207" s="12" t="n">
        <x:f>IFERROR(I207*26*J207,0)</x:f>
        <x:v>13260</x:v>
      </x:c>
      <x:c r="L207" s="12" t="n">
        <x:f>IFERROR(H207/I207,0)</x:f>
        <x:v>2.9411764705882355</x:v>
      </x:c>
      <x:c r="M207" s="12" t="n">
        <x:f>IFERROR(26*J207,0)</x:f>
        <x:v>26</x:v>
      </x:c>
      <x:c r="N207" s="14" t="n">
        <x:f>IFERROR(L207/M207,0)</x:f>
        <x:v>0.11312217194570137</x:v>
      </x:c>
      <x:c r="O207" s="14" t="n">
        <x:v>0.85</x:v>
      </x:c>
      <x:c r="P207" s="9" t="n">
        <x:v>1</x:v>
      </x:c>
      <x:c r="Q207" s="9"/>
      <x:c r="R207" s="10" t="str">
        <x:f>IF(N207&gt;1,"Over capacity",IF(N207&gt;=0.85,"High load",IF(N207&gt;=0.5,"Normal","Low load")))</x:f>
        <x:v>Low load</x:v>
      </x:c>
    </x:row>
    <x:row r="208">
      <x:c r="A208" s="8" t="str">
        <x:v>MC Spot welding</x:v>
      </x:c>
      <x:c r="B208" s="9" t="str">
        <x:v>M/C:SW7</x:v>
      </x:c>
      <x:c r="C208" s="9"/>
      <x:c r="D208" s="9"/>
      <x:c r="E208" s="9"/>
      <x:c r="F208" s="9" t="str">
        <x:v>BRU53749</x:v>
      </x:c>
      <x:c r="G208" s="9" t="str">
        <x:v>Door 900mm</x:v>
      </x:c>
      <x:c r="H208" s="12" t="n">
        <x:v>300</x:v>
      </x:c>
      <x:c r="I208" s="12" t="n">
        <x:v>510</x:v>
      </x:c>
      <x:c r="J208" s="12" t="n">
        <x:v>1</x:v>
      </x:c>
      <x:c r="K208" s="12" t="n">
        <x:f>IFERROR(I208*26*J208,0)</x:f>
        <x:v>13260</x:v>
      </x:c>
      <x:c r="L208" s="12" t="n">
        <x:f>IFERROR(H208/I208,0)</x:f>
        <x:v>0.5882352941176471</x:v>
      </x:c>
      <x:c r="M208" s="12" t="n">
        <x:f>IFERROR(26*J208,0)</x:f>
        <x:v>26</x:v>
      </x:c>
      <x:c r="N208" s="14" t="n">
        <x:f>IFERROR(L208/M208,0)</x:f>
        <x:v>0.02262443438914027</x:v>
      </x:c>
      <x:c r="O208" s="14" t="n">
        <x:v>0.85</x:v>
      </x:c>
      <x:c r="P208" s="9" t="n">
        <x:v>1</x:v>
      </x:c>
      <x:c r="Q208" s="9"/>
      <x:c r="R208" s="10" t="str">
        <x:f>IF(N208&gt;1,"Over capacity",IF(N208&gt;=0.85,"High load",IF(N208&gt;=0.5,"Normal","Low load")))</x:f>
        <x:v>Low load</x:v>
      </x:c>
    </x:row>
    <x:row r="209">
      <x:c r="A209" s="8" t="str">
        <x:v>Robot welding</x:v>
      </x:c>
      <x:c r="B209" s="9" t="str">
        <x:v>M/C :RW1</x:v>
      </x:c>
      <x:c r="C209" s="9"/>
      <x:c r="D209" s="9"/>
      <x:c r="E209" s="9"/>
      <x:c r="F209" s="9" t="str">
        <x:v>SB-068C-1</x:v>
      </x:c>
      <x:c r="G209" s="9"/>
      <x:c r="H209" s="12" t="n">
        <x:v>3800</x:v>
      </x:c>
      <x:c r="I209" s="12" t="n">
        <x:v>204</x:v>
      </x:c>
      <x:c r="J209" s="12" t="n">
        <x:v>1</x:v>
      </x:c>
      <x:c r="K209" s="12" t="n">
        <x:f>IFERROR(I209*26*J209,0)</x:f>
        <x:v>5304</x:v>
      </x:c>
      <x:c r="L209" s="12" t="n">
        <x:f>IFERROR(H209/I209,0)</x:f>
        <x:v>18.627450980392158</x:v>
      </x:c>
      <x:c r="M209" s="12" t="n">
        <x:f>IFERROR(26*J209,0)</x:f>
        <x:v>26</x:v>
      </x:c>
      <x:c r="N209" s="14" t="n">
        <x:f>IFERROR(L209/M209,0)</x:f>
        <x:v>0.7164404223227753</x:v>
      </x:c>
      <x:c r="O209" s="14" t="n">
        <x:v>0.85</x:v>
      </x:c>
      <x:c r="P209" s="9" t="n">
        <x:v>1</x:v>
      </x:c>
      <x:c r="Q209" s="9"/>
      <x:c r="R209" s="10" t="str">
        <x:f>IF(N209&gt;1,"Over capacity",IF(N209&gt;=0.85,"High load",IF(N209&gt;=0.5,"Normal","Low load")))</x:f>
        <x:v>Normal</x:v>
      </x:c>
    </x:row>
    <x:row r="210">
      <x:c r="A210" s="8" t="str">
        <x:v>Robot welding</x:v>
      </x:c>
      <x:c r="B210" s="9" t="str">
        <x:v>M/C :RW1</x:v>
      </x:c>
      <x:c r="C210" s="9"/>
      <x:c r="D210" s="9"/>
      <x:c r="E210" s="9"/>
      <x:c r="F210" s="9" t="str">
        <x:v>SB-104A-1</x:v>
      </x:c>
      <x:c r="G210" s="9"/>
      <x:c r="H210" s="12" t="n">
        <x:v>1000</x:v>
      </x:c>
      <x:c r="I210" s="12" t="n">
        <x:v>510</x:v>
      </x:c>
      <x:c r="J210" s="12" t="n">
        <x:v>1</x:v>
      </x:c>
      <x:c r="K210" s="12" t="n">
        <x:f>IFERROR(I210*26*J210,0)</x:f>
        <x:v>13260</x:v>
      </x:c>
      <x:c r="L210" s="12" t="n">
        <x:f>IFERROR(H210/I210,0)</x:f>
        <x:v>1.9607843137254901</x:v>
      </x:c>
      <x:c r="M210" s="12" t="n">
        <x:f>IFERROR(26*J210,0)</x:f>
        <x:v>26</x:v>
      </x:c>
      <x:c r="N210" s="14" t="n">
        <x:f>IFERROR(L210/M210,0)</x:f>
        <x:v>0.07541478129713423</x:v>
      </x:c>
      <x:c r="O210" s="14" t="n">
        <x:v>0.85</x:v>
      </x:c>
      <x:c r="P210" s="9" t="n">
        <x:v>1</x:v>
      </x:c>
      <x:c r="Q210" s="9"/>
      <x:c r="R210" s="10" t="str">
        <x:f>IF(N210&gt;1,"Over capacity",IF(N210&gt;=0.85,"High load",IF(N210&gt;=0.5,"Normal","Low load")))</x:f>
        <x:v>Low load</x:v>
      </x:c>
    </x:row>
    <x:row r="211">
      <x:c r="A211" s="8" t="str">
        <x:v>Robot welding</x:v>
      </x:c>
      <x:c r="B211" s="9" t="str">
        <x:v>M/C :RW1</x:v>
      </x:c>
      <x:c r="C211" s="9"/>
      <x:c r="D211" s="9"/>
      <x:c r="E211" s="9"/>
      <x:c r="F211" s="9" t="str">
        <x:v>10383086</x:v>
      </x:c>
      <x:c r="G211" s="9"/>
      <x:c r="H211" s="12" t="n">
        <x:v>3000</x:v>
      </x:c>
      <x:c r="I211" s="12" t="n">
        <x:v>4896</x:v>
      </x:c>
      <x:c r="J211" s="12" t="n">
        <x:v>1</x:v>
      </x:c>
      <x:c r="K211" s="12" t="n">
        <x:f>IFERROR(I211*26*J211,0)</x:f>
        <x:v>127296</x:v>
      </x:c>
      <x:c r="L211" s="12" t="n">
        <x:f>IFERROR(H211/I211,0)</x:f>
        <x:v>0.6127450980392157</x:v>
      </x:c>
      <x:c r="M211" s="12" t="n">
        <x:f>IFERROR(26*J211,0)</x:f>
        <x:v>26</x:v>
      </x:c>
      <x:c r="N211" s="14" t="n">
        <x:f>IFERROR(L211/M211,0)</x:f>
        <x:v>0.023567119155354452</x:v>
      </x:c>
      <x:c r="O211" s="14" t="n">
        <x:v>0.85</x:v>
      </x:c>
      <x:c r="P211" s="9" t="n">
        <x:v>4</x:v>
      </x:c>
      <x:c r="Q211" s="9"/>
      <x:c r="R211" s="10" t="str">
        <x:f>IF(N211&gt;1,"Over capacity",IF(N211&gt;=0.85,"High load",IF(N211&gt;=0.5,"Normal","Low load")))</x:f>
        <x:v>Low load</x:v>
      </x:c>
    </x:row>
    <x:row r="212">
      <x:c r="A212" s="8" t="str">
        <x:v>Robot welding</x:v>
      </x:c>
      <x:c r="B212" s="9" t="str">
        <x:v>M/C :RW1</x:v>
      </x:c>
      <x:c r="C212" s="9"/>
      <x:c r="D212" s="9"/>
      <x:c r="E212" s="9" t="str">
        <x:v>Gland plate</x:v>
      </x:c>
      <x:c r="F212" s="9" t="str">
        <x:v>BRU53717</x:v>
      </x:c>
      <x:c r="G212" s="9"/>
      <x:c r="H212" s="12" t="n">
        <x:v>20000</x:v>
      </x:c>
      <x:c r="I212" s="12" t="n">
        <x:v>1020</x:v>
      </x:c>
      <x:c r="J212" s="12" t="n">
        <x:v>1</x:v>
      </x:c>
      <x:c r="K212" s="12" t="n">
        <x:f>IFERROR(I212*26*J212,0)</x:f>
        <x:v>26520</x:v>
      </x:c>
      <x:c r="L212" s="12" t="n">
        <x:f>IFERROR(H212/I212,0)</x:f>
        <x:v>19.607843137254903</x:v>
      </x:c>
      <x:c r="M212" s="12" t="n">
        <x:f>IFERROR(26*J212,0)</x:f>
        <x:v>26</x:v>
      </x:c>
      <x:c r="N212" s="14" t="n">
        <x:f>IFERROR(L212/M212,0)</x:f>
        <x:v>0.7541478129713425</x:v>
      </x:c>
      <x:c r="O212" s="14" t="n">
        <x:v>0.85</x:v>
      </x:c>
      <x:c r="P212" s="9" t="n">
        <x:v>1</x:v>
      </x:c>
      <x:c r="Q212" s="9"/>
      <x:c r="R212" s="10" t="str">
        <x:f>IF(N212&gt;1,"Over capacity",IF(N212&gt;=0.85,"High load",IF(N212&gt;=0.5,"Normal","Low load")))</x:f>
        <x:v>Normal</x:v>
      </x:c>
    </x:row>
    <x:row r="213">
      <x:c r="A213" s="8" t="str">
        <x:v>Robot welding</x:v>
      </x:c>
      <x:c r="B213" s="9" t="str">
        <x:v>M/C :RW2</x:v>
      </x:c>
      <x:c r="C213" s="9"/>
      <x:c r="D213" s="9"/>
      <x:c r="E213" s="9"/>
      <x:c r="F213" s="9" t="str">
        <x:v>SB-042E-2</x:v>
      </x:c>
      <x:c r="G213" s="9"/>
      <x:c r="H213" s="12" t="n">
        <x:v>6000</x:v>
      </x:c>
      <x:c r="I213" s="12" t="n">
        <x:v>775.2</x:v>
      </x:c>
      <x:c r="J213" s="12" t="n">
        <x:v>1</x:v>
      </x:c>
      <x:c r="K213" s="12" t="n">
        <x:f>IFERROR(I213*26*J213,0)</x:f>
        <x:v>20155.2</x:v>
      </x:c>
      <x:c r="L213" s="12" t="n">
        <x:f>IFERROR(H213/I213,0)</x:f>
        <x:v>7.739938080495356</x:v>
      </x:c>
      <x:c r="M213" s="12" t="n">
        <x:f>IFERROR(26*J213,0)</x:f>
        <x:v>26</x:v>
      </x:c>
      <x:c r="N213" s="14" t="n">
        <x:f>IFERROR(L213/M213,0)</x:f>
        <x:v>0.2976899261728983</x:v>
      </x:c>
      <x:c r="O213" s="14" t="n">
        <x:v>0.85</x:v>
      </x:c>
      <x:c r="P213" s="9" t="n">
        <x:v>2</x:v>
      </x:c>
      <x:c r="Q213" s="9"/>
      <x:c r="R213" s="10" t="str">
        <x:f>IF(N213&gt;1,"Over capacity",IF(N213&gt;=0.85,"High load",IF(N213&gt;=0.5,"Normal","Low load")))</x:f>
        <x:v>Low load</x:v>
      </x:c>
    </x:row>
    <x:row r="214">
      <x:c r="A214" s="8" t="str">
        <x:v>Robot welding</x:v>
      </x:c>
      <x:c r="B214" s="9" t="str">
        <x:v>M/C :RW2</x:v>
      </x:c>
      <x:c r="C214" s="9"/>
      <x:c r="D214" s="9"/>
      <x:c r="E214" s="9"/>
      <x:c r="F214" s="9" t="str">
        <x:v>SB-092C-1</x:v>
      </x:c>
      <x:c r="G214" s="9"/>
      <x:c r="H214" s="12" t="n">
        <x:v>2000</x:v>
      </x:c>
      <x:c r="I214" s="12" t="n">
        <x:v>112.2</x:v>
      </x:c>
      <x:c r="J214" s="12" t="n">
        <x:v>1</x:v>
      </x:c>
      <x:c r="K214" s="12" t="n">
        <x:f>IFERROR(I214*26*J214,0)</x:f>
        <x:v>2917.2000000000003</x:v>
      </x:c>
      <x:c r="L214" s="12" t="n">
        <x:f>IFERROR(H214/I214,0)</x:f>
        <x:v>17.825311942959</x:v>
      </x:c>
      <x:c r="M214" s="12" t="n">
        <x:f>IFERROR(26*J214,0)</x:f>
        <x:v>26</x:v>
      </x:c>
      <x:c r="N214" s="14" t="n">
        <x:f>IFERROR(L214/M214,0)</x:f>
        <x:v>0.6855889208830385</x:v>
      </x:c>
      <x:c r="O214" s="14" t="n">
        <x:v>0.85</x:v>
      </x:c>
      <x:c r="P214" s="9" t="n">
        <x:v>1</x:v>
      </x:c>
      <x:c r="Q214" s="9"/>
      <x:c r="R214" s="10" t="str">
        <x:f>IF(N214&gt;1,"Over capacity",IF(N214&gt;=0.85,"High load",IF(N214&gt;=0.5,"Normal","Low load")))</x:f>
        <x:v>Normal</x:v>
      </x:c>
    </x:row>
    <x:row r="215">
      <x:c r="A215" s="8" t="str">
        <x:v>Robot welding</x:v>
      </x:c>
      <x:c r="B215" s="9" t="str">
        <x:v>M/C :RW2</x:v>
      </x:c>
      <x:c r="C215" s="9"/>
      <x:c r="D215" s="9"/>
      <x:c r="E215" s="9"/>
      <x:c r="F215" s="9" t="str">
        <x:v>NVE96519</x:v>
      </x:c>
      <x:c r="G215" s="9"/>
      <x:c r="H215" s="12" t="n">
        <x:v>2000</x:v>
      </x:c>
      <x:c r="I215" s="12" t="n">
        <x:v>510</x:v>
      </x:c>
      <x:c r="J215" s="12" t="n">
        <x:v>1</x:v>
      </x:c>
      <x:c r="K215" s="12" t="n">
        <x:f>IFERROR(I215*26*J215,0)</x:f>
        <x:v>13260</x:v>
      </x:c>
      <x:c r="L215" s="12" t="n">
        <x:f>IFERROR(H215/I215,0)</x:f>
        <x:v>3.9215686274509802</x:v>
      </x:c>
      <x:c r="M215" s="12" t="n">
        <x:f>IFERROR(26*J215,0)</x:f>
        <x:v>26</x:v>
      </x:c>
      <x:c r="N215" s="14" t="n">
        <x:f>IFERROR(L215/M215,0)</x:f>
        <x:v>0.15082956259426847</x:v>
      </x:c>
      <x:c r="O215" s="14" t="n">
        <x:v>0.85</x:v>
      </x:c>
      <x:c r="P215" s="9" t="n">
        <x:v>1</x:v>
      </x:c>
      <x:c r="Q215" s="9"/>
      <x:c r="R215" s="10" t="str">
        <x:f>IF(N215&gt;1,"Over capacity",IF(N215&gt;=0.85,"High load",IF(N215&gt;=0.5,"Normal","Low load")))</x:f>
        <x:v>Low load</x:v>
      </x:c>
    </x:row>
    <x:row r="216">
      <x:c r="A216" s="8" t="str">
        <x:v>Robot welding</x:v>
      </x:c>
      <x:c r="B216" s="9" t="str">
        <x:v>M/C :RW2</x:v>
      </x:c>
      <x:c r="C216" s="9"/>
      <x:c r="D216" s="9"/>
      <x:c r="E216" s="9"/>
      <x:c r="F216" s="9" t="str">
        <x:v>NVE96526</x:v>
      </x:c>
      <x:c r="G216" s="9"/>
      <x:c r="H216" s="12" t="n">
        <x:v>700</x:v>
      </x:c>
      <x:c r="I216" s="12" t="n">
        <x:v>510</x:v>
      </x:c>
      <x:c r="J216" s="12" t="n">
        <x:v>1</x:v>
      </x:c>
      <x:c r="K216" s="12" t="n">
        <x:f>IFERROR(I216*26*J216,0)</x:f>
        <x:v>13260</x:v>
      </x:c>
      <x:c r="L216" s="12" t="n">
        <x:f>IFERROR(H216/I216,0)</x:f>
        <x:v>1.3725490196078431</x:v>
      </x:c>
      <x:c r="M216" s="12" t="n">
        <x:f>IFERROR(26*J216,0)</x:f>
        <x:v>26</x:v>
      </x:c>
      <x:c r="N216" s="14" t="n">
        <x:f>IFERROR(L216/M216,0)</x:f>
        <x:v>0.05279034690799397</x:v>
      </x:c>
      <x:c r="O216" s="14" t="n">
        <x:v>0.85</x:v>
      </x:c>
      <x:c r="P216" s="9" t="n">
        <x:v>1</x:v>
      </x:c>
      <x:c r="Q216" s="9"/>
      <x:c r="R216" s="10" t="str">
        <x:f>IF(N216&gt;1,"Over capacity",IF(N216&gt;=0.85,"High load",IF(N216&gt;=0.5,"Normal","Low load")))</x:f>
        <x:v>Low load</x:v>
      </x:c>
    </x:row>
    <x:row r="217">
      <x:c r="A217" s="8" t="str">
        <x:v>Robot welding</x:v>
      </x:c>
      <x:c r="B217" s="9" t="str">
        <x:v>M/C :RW2</x:v>
      </x:c>
      <x:c r="C217" s="9"/>
      <x:c r="D217" s="9"/>
      <x:c r="E217" s="9"/>
      <x:c r="F217" s="9" t="str">
        <x:v>NVE96533</x:v>
      </x:c>
      <x:c r="G217" s="9"/>
      <x:c r="H217" s="12" t="n">
        <x:v>2700</x:v>
      </x:c>
      <x:c r="I217" s="12" t="n">
        <x:v>510</x:v>
      </x:c>
      <x:c r="J217" s="12" t="n">
        <x:v>1</x:v>
      </x:c>
      <x:c r="K217" s="12" t="n">
        <x:f>IFERROR(I217*26*J217,0)</x:f>
        <x:v>13260</x:v>
      </x:c>
      <x:c r="L217" s="12" t="n">
        <x:f>IFERROR(H217/I217,0)</x:f>
        <x:v>5.294117647058823</x:v>
      </x:c>
      <x:c r="M217" s="12" t="n">
        <x:f>IFERROR(26*J217,0)</x:f>
        <x:v>26</x:v>
      </x:c>
      <x:c r="N217" s="14" t="n">
        <x:f>IFERROR(L217/M217,0)</x:f>
        <x:v>0.20361990950226244</x:v>
      </x:c>
      <x:c r="O217" s="14" t="n">
        <x:v>0.85</x:v>
      </x:c>
      <x:c r="P217" s="9" t="n">
        <x:v>1</x:v>
      </x:c>
      <x:c r="Q217" s="9"/>
      <x:c r="R217" s="10" t="str">
        <x:f>IF(N217&gt;1,"Over capacity",IF(N217&gt;=0.85,"High load",IF(N217&gt;=0.5,"Normal","Low load")))</x:f>
        <x:v>Low load</x:v>
      </x:c>
    </x:row>
    <x:row r="218">
      <x:c r="A218" s="8" t="str">
        <x:v>Robot welding</x:v>
      </x:c>
      <x:c r="B218" s="9" t="str">
        <x:v>M/C :RW2</x:v>
      </x:c>
      <x:c r="C218" s="9"/>
      <x:c r="D218" s="9"/>
      <x:c r="E218" s="9"/>
      <x:c r="F218" s="9" t="str">
        <x:v>NVE96542</x:v>
      </x:c>
      <x:c r="G218" s="9"/>
      <x:c r="H218" s="12" t="n">
        <x:v>100</x:v>
      </x:c>
      <x:c r="I218" s="12" t="n">
        <x:v>510</x:v>
      </x:c>
      <x:c r="J218" s="12" t="n">
        <x:v>1</x:v>
      </x:c>
      <x:c r="K218" s="12" t="n">
        <x:f>IFERROR(I218*26*J218,0)</x:f>
        <x:v>13260</x:v>
      </x:c>
      <x:c r="L218" s="12" t="n">
        <x:f>IFERROR(H218/I218,0)</x:f>
        <x:v>0.19607843137254902</x:v>
      </x:c>
      <x:c r="M218" s="12" t="n">
        <x:f>IFERROR(26*J218,0)</x:f>
        <x:v>26</x:v>
      </x:c>
      <x:c r="N218" s="14" t="n">
        <x:f>IFERROR(L218/M218,0)</x:f>
        <x:v>0.007541478129713424</x:v>
      </x:c>
      <x:c r="O218" s="14" t="n">
        <x:v>0.85</x:v>
      </x:c>
      <x:c r="P218" s="9" t="n">
        <x:v>1</x:v>
      </x:c>
      <x:c r="Q218" s="9"/>
      <x:c r="R218" s="10" t="str">
        <x:f>IF(N218&gt;1,"Over capacity",IF(N218&gt;=0.85,"High load",IF(N218&gt;=0.5,"Normal","Low load")))</x:f>
        <x:v>Low load</x:v>
      </x:c>
    </x:row>
    <x:row r="219">
      <x:c r="A219" s="8" t="str">
        <x:v>Robot welding</x:v>
      </x:c>
      <x:c r="B219" s="9" t="str">
        <x:v>M/C :RW3</x:v>
      </x:c>
      <x:c r="C219" s="9"/>
      <x:c r="D219" s="9"/>
      <x:c r="E219" s="9"/>
      <x:c r="F219" s="9" t="str">
        <x:v>1185577</x:v>
      </x:c>
      <x:c r="G219" s="9"/>
      <x:c r="H219" s="12" t="n">
        <x:v>2500</x:v>
      </x:c>
      <x:c r="I219" s="12" t="n">
        <x:v>255</x:v>
      </x:c>
      <x:c r="J219" s="12" t="n">
        <x:v>1</x:v>
      </x:c>
      <x:c r="K219" s="12" t="n">
        <x:f>IFERROR(I219*26*J219,0)</x:f>
        <x:v>6630</x:v>
      </x:c>
      <x:c r="L219" s="12" t="n">
        <x:f>IFERROR(H219/I219,0)</x:f>
        <x:v>9.803921568627452</x:v>
      </x:c>
      <x:c r="M219" s="12" t="n">
        <x:f>IFERROR(26*J219,0)</x:f>
        <x:v>26</x:v>
      </x:c>
      <x:c r="N219" s="14" t="n">
        <x:f>IFERROR(L219/M219,0)</x:f>
        <x:v>0.37707390648567124</x:v>
      </x:c>
      <x:c r="O219" s="14" t="n">
        <x:v>0.85</x:v>
      </x:c>
      <x:c r="P219" s="9" t="n">
        <x:v>1</x:v>
      </x:c>
      <x:c r="Q219" s="9"/>
      <x:c r="R219" s="10" t="str">
        <x:f>IF(N219&gt;1,"Over capacity",IF(N219&gt;=0.85,"High load",IF(N219&gt;=0.5,"Normal","Low load")))</x:f>
        <x:v>Low load</x:v>
      </x:c>
    </x:row>
    <x:row r="220">
      <x:c r="A220" s="8" t="str">
        <x:v>Rivet</x:v>
      </x:c>
      <x:c r="B220" s="9" t="str">
        <x:v>M/C :RV1</x:v>
      </x:c>
      <x:c r="C220" s="9"/>
      <x:c r="D220" s="9"/>
      <x:c r="E220" s="9" t="str">
        <x:v>CG BASE</x:v>
      </x:c>
      <x:c r="F220" s="9" t="str">
        <x:v>2567475-AA</x:v>
      </x:c>
      <x:c r="G220" s="9"/>
      <x:c r="H220" s="12" t="n">
        <x:v>15000</x:v>
      </x:c>
      <x:c r="I220" s="12" t="n">
        <x:v>2040</x:v>
      </x:c>
      <x:c r="J220" s="12" t="n">
        <x:v>1</x:v>
      </x:c>
      <x:c r="K220" s="12" t="n">
        <x:f>IFERROR(I220*26*J220,0)</x:f>
        <x:v>53040</x:v>
      </x:c>
      <x:c r="L220" s="12" t="n">
        <x:f>IFERROR(H220/I220,0)</x:f>
        <x:v>7.352941176470588</x:v>
      </x:c>
      <x:c r="M220" s="12" t="n">
        <x:f>IFERROR(26*J220,0)</x:f>
        <x:v>26</x:v>
      </x:c>
      <x:c r="N220" s="14" t="n">
        <x:f>IFERROR(L220/M220,0)</x:f>
        <x:v>0.2828054298642534</x:v>
      </x:c>
      <x:c r="O220" s="14" t="n">
        <x:v>0.85</x:v>
      </x:c>
      <x:c r="P220" s="9" t="n">
        <x:v>1</x:v>
      </x:c>
      <x:c r="Q220" s="9"/>
      <x:c r="R220" s="10" t="str">
        <x:f>IF(N220&gt;1,"Over capacity",IF(N220&gt;=0.85,"High load",IF(N220&gt;=0.5,"Normal","Low load")))</x:f>
        <x:v>Low load</x:v>
      </x:c>
    </x:row>
    <x:row r="221">
      <x:c r="A221" s="8" t="str">
        <x:v>Rivet</x:v>
      </x:c>
      <x:c r="B221" s="9" t="str">
        <x:v>M/C :RV1</x:v>
      </x:c>
      <x:c r="C221" s="9"/>
      <x:c r="D221" s="9"/>
      <x:c r="E221" s="9" t="str">
        <x:v>STAY UPPER 0092</x:v>
      </x:c>
      <x:c r="F221" s="9" t="str">
        <x:v>1188861-AA</x:v>
      </x:c>
      <x:c r="G221" s="9"/>
      <x:c r="H221" s="12" t="n">
        <x:v>5000</x:v>
      </x:c>
      <x:c r="I221" s="12" t="n">
        <x:v>1275</x:v>
      </x:c>
      <x:c r="J221" s="12" t="n">
        <x:v>1</x:v>
      </x:c>
      <x:c r="K221" s="12" t="n">
        <x:f>IFERROR(I221*26*J221,0)</x:f>
        <x:v>33150</x:v>
      </x:c>
      <x:c r="L221" s="12" t="n">
        <x:f>IFERROR(H221/I221,0)</x:f>
        <x:v>3.9215686274509802</x:v>
      </x:c>
      <x:c r="M221" s="12" t="n">
        <x:f>IFERROR(26*J221,0)</x:f>
        <x:v>26</x:v>
      </x:c>
      <x:c r="N221" s="14" t="n">
        <x:f>IFERROR(L221/M221,0)</x:f>
        <x:v>0.15082956259426847</x:v>
      </x:c>
      <x:c r="O221" s="14" t="n">
        <x:v>0.85</x:v>
      </x:c>
      <x:c r="P221" s="9" t="n">
        <x:v>1</x:v>
      </x:c>
      <x:c r="Q221" s="9"/>
      <x:c r="R221" s="10" t="str">
        <x:f>IF(N221&gt;1,"Over capacity",IF(N221&gt;=0.85,"High load",IF(N221&gt;=0.5,"Normal","Low load")))</x:f>
        <x:v>Low load</x:v>
      </x:c>
    </x:row>
    <x:row r="222">
      <x:c r="A222" s="8" t="str">
        <x:v>Rivet</x:v>
      </x:c>
      <x:c r="B222" s="9" t="str">
        <x:v>M/C :RV1</x:v>
      </x:c>
      <x:c r="C222" s="9"/>
      <x:c r="D222" s="9"/>
      <x:c r="E222" s="9" t="str">
        <x:v>STAY UPPER 0092</x:v>
      </x:c>
      <x:c r="F222" s="9" t="str">
        <x:v>1188862-AA</x:v>
      </x:c>
      <x:c r="G222" s="9"/>
      <x:c r="H222" s="12" t="n">
        <x:v>5000</x:v>
      </x:c>
      <x:c r="I222" s="12" t="n">
        <x:v>1275</x:v>
      </x:c>
      <x:c r="J222" s="12" t="n">
        <x:v>1</x:v>
      </x:c>
      <x:c r="K222" s="12" t="n">
        <x:f>IFERROR(I222*26*J222,0)</x:f>
        <x:v>33150</x:v>
      </x:c>
      <x:c r="L222" s="12" t="n">
        <x:f>IFERROR(H222/I222,0)</x:f>
        <x:v>3.9215686274509802</x:v>
      </x:c>
      <x:c r="M222" s="12" t="n">
        <x:f>IFERROR(26*J222,0)</x:f>
        <x:v>26</x:v>
      </x:c>
      <x:c r="N222" s="14" t="n">
        <x:f>IFERROR(L222/M222,0)</x:f>
        <x:v>0.15082956259426847</x:v>
      </x:c>
      <x:c r="O222" s="14" t="n">
        <x:v>0.85</x:v>
      </x:c>
      <x:c r="P222" s="9" t="n">
        <x:v>1</x:v>
      </x:c>
      <x:c r="Q222" s="9"/>
      <x:c r="R222" s="10" t="str">
        <x:f>IF(N222&gt;1,"Over capacity",IF(N222&gt;=0.85,"High load",IF(N222&gt;=0.5,"Normal","Low load")))</x:f>
        <x:v>Low load</x:v>
      </x:c>
    </x:row>
    <x:row r="223">
      <x:c r="A223" s="8" t="str">
        <x:v>Rivet</x:v>
      </x:c>
      <x:c r="B223" s="9" t="str">
        <x:v>M/C :RV1</x:v>
      </x:c>
      <x:c r="C223" s="9"/>
      <x:c r="D223" s="9"/>
      <x:c r="E223" s="9"/>
      <x:c r="F223" s="9" t="str">
        <x:v>5038788-AA</x:v>
      </x:c>
      <x:c r="G223" s="9"/>
      <x:c r="H223" s="12" t="n">
        <x:v>5000</x:v>
      </x:c>
      <x:c r="I223" s="12" t="n">
        <x:v>1275</x:v>
      </x:c>
      <x:c r="J223" s="12" t="n">
        <x:v>1</x:v>
      </x:c>
      <x:c r="K223" s="12" t="n">
        <x:f>IFERROR(I223*26*J223,0)</x:f>
        <x:v>33150</x:v>
      </x:c>
      <x:c r="L223" s="12" t="n">
        <x:f>IFERROR(H223/I223,0)</x:f>
        <x:v>3.9215686274509802</x:v>
      </x:c>
      <x:c r="M223" s="12" t="n">
        <x:f>IFERROR(26*J223,0)</x:f>
        <x:v>26</x:v>
      </x:c>
      <x:c r="N223" s="14" t="n">
        <x:f>IFERROR(L223/M223,0)</x:f>
        <x:v>0.15082956259426847</x:v>
      </x:c>
      <x:c r="O223" s="14" t="n">
        <x:v>0.85</x:v>
      </x:c>
      <x:c r="P223" s="9" t="n">
        <x:v>1</x:v>
      </x:c>
      <x:c r="Q223" s="9"/>
      <x:c r="R223" s="10" t="str">
        <x:f>IF(N223&gt;1,"Over capacity",IF(N223&gt;=0.85,"High load",IF(N223&gt;=0.5,"Normal","Low load")))</x:f>
        <x:v>Low load</x:v>
      </x:c>
    </x:row>
    <x:row r="224">
      <x:c r="A224" s="8" t="str">
        <x:v>Rivet</x:v>
      </x:c>
      <x:c r="B224" s="9" t="str">
        <x:v>M/C :RV1</x:v>
      </x:c>
      <x:c r="C224" s="9"/>
      <x:c r="D224" s="9"/>
      <x:c r="E224" s="9"/>
      <x:c r="F224" s="9" t="str">
        <x:v>5038789-AA</x:v>
      </x:c>
      <x:c r="G224" s="9"/>
      <x:c r="H224" s="12" t="n">
        <x:v>5000</x:v>
      </x:c>
      <x:c r="I224" s="12" t="n">
        <x:v>1275</x:v>
      </x:c>
      <x:c r="J224" s="12" t="n">
        <x:v>1</x:v>
      </x:c>
      <x:c r="K224" s="12" t="n">
        <x:f>IFERROR(I224*26*J224,0)</x:f>
        <x:v>33150</x:v>
      </x:c>
      <x:c r="L224" s="12" t="n">
        <x:f>IFERROR(H224/I224,0)</x:f>
        <x:v>3.9215686274509802</x:v>
      </x:c>
      <x:c r="M224" s="12" t="n">
        <x:f>IFERROR(26*J224,0)</x:f>
        <x:v>26</x:v>
      </x:c>
      <x:c r="N224" s="14" t="n">
        <x:f>IFERROR(L224/M224,0)</x:f>
        <x:v>0.15082956259426847</x:v>
      </x:c>
      <x:c r="O224" s="14" t="n">
        <x:v>0.85</x:v>
      </x:c>
      <x:c r="P224" s="9" t="n">
        <x:v>1</x:v>
      </x:c>
      <x:c r="Q224" s="9"/>
      <x:c r="R224" s="10" t="str">
        <x:f>IF(N224&gt;1,"Over capacity",IF(N224&gt;=0.85,"High load",IF(N224&gt;=0.5,"Normal","Low load")))</x:f>
        <x:v>Low load</x:v>
      </x:c>
    </x:row>
    <x:row r="225">
      <x:c r="A225" s="8" t="str">
        <x:v>Rivet</x:v>
      </x:c>
      <x:c r="B225" s="9" t="str">
        <x:v>M/C :RV1</x:v>
      </x:c>
      <x:c r="C225" s="9"/>
      <x:c r="D225" s="9"/>
      <x:c r="E225" s="9" t="str">
        <x:v>CE BASE UNIT RR 5677</x:v>
      </x:c>
      <x:c r="F225" s="9" t="str">
        <x:v>1185677-AB</x:v>
      </x:c>
      <x:c r="G225" s="9"/>
      <x:c r="H225" s="12" t="n">
        <x:v>5000</x:v>
      </x:c>
      <x:c r="I225" s="12" t="n">
        <x:v>1275</x:v>
      </x:c>
      <x:c r="J225" s="12" t="n">
        <x:v>1</x:v>
      </x:c>
      <x:c r="K225" s="12" t="n">
        <x:f>IFERROR(I225*26*J225,0)</x:f>
        <x:v>33150</x:v>
      </x:c>
      <x:c r="L225" s="12" t="n">
        <x:f>IFERROR(H225/I225,0)</x:f>
        <x:v>3.9215686274509802</x:v>
      </x:c>
      <x:c r="M225" s="12" t="n">
        <x:f>IFERROR(26*J225,0)</x:f>
        <x:v>26</x:v>
      </x:c>
      <x:c r="N225" s="14" t="n">
        <x:f>IFERROR(L225/M225,0)</x:f>
        <x:v>0.15082956259426847</x:v>
      </x:c>
      <x:c r="O225" s="14" t="n">
        <x:v>0.85</x:v>
      </x:c>
      <x:c r="P225" s="9" t="n">
        <x:v>1</x:v>
      </x:c>
      <x:c r="Q225" s="9"/>
      <x:c r="R225" s="10" t="str">
        <x:f>IF(N225&gt;1,"Over capacity",IF(N225&gt;=0.85,"High load",IF(N225&gt;=0.5,"Normal","Low load")))</x:f>
        <x:v>Low load</x:v>
      </x:c>
    </x:row>
    <x:row r="226">
      <x:c r="A226" s="8" t="str">
        <x:v>Rivet</x:v>
      </x:c>
      <x:c r="B226" s="9" t="str">
        <x:v>M/C :RV2</x:v>
      </x:c>
      <x:c r="C226" s="9"/>
      <x:c r="D226" s="9"/>
      <x:c r="E226" s="9" t="str">
        <x:v>CG BASE</x:v>
      </x:c>
      <x:c r="F226" s="9" t="str">
        <x:v>2567475-AA</x:v>
      </x:c>
      <x:c r="G226" s="9"/>
      <x:c r="H226" s="12" t="n">
        <x:v>30000</x:v>
      </x:c>
      <x:c r="I226" s="12" t="n">
        <x:v>2550</x:v>
      </x:c>
      <x:c r="J226" s="12" t="n">
        <x:v>1</x:v>
      </x:c>
      <x:c r="K226" s="12" t="n">
        <x:f>IFERROR(I226*26*J226,0)</x:f>
        <x:v>66300</x:v>
      </x:c>
      <x:c r="L226" s="12" t="n">
        <x:f>IFERROR(H226/I226,0)</x:f>
        <x:v>11.764705882352942</x:v>
      </x:c>
      <x:c r="M226" s="12" t="n">
        <x:f>IFERROR(26*J226,0)</x:f>
        <x:v>26</x:v>
      </x:c>
      <x:c r="N226" s="14" t="n">
        <x:f>IFERROR(L226/M226,0)</x:f>
        <x:v>0.4524886877828055</x:v>
      </x:c>
      <x:c r="O226" s="14" t="n">
        <x:v>0.85</x:v>
      </x:c>
      <x:c r="P226" s="9" t="n">
        <x:v>1</x:v>
      </x:c>
      <x:c r="Q226" s="9"/>
      <x:c r="R226" s="10" t="str">
        <x:f>IF(N226&gt;1,"Over capacity",IF(N226&gt;=0.85,"High load",IF(N226&gt;=0.5,"Normal","Low load")))</x:f>
        <x:v>Low load</x:v>
      </x:c>
    </x:row>
    <x:row r="227">
      <x:c r="A227" s="8" t="str">
        <x:v>Rivet</x:v>
      </x:c>
      <x:c r="B227" s="9" t="str">
        <x:v>M/C :RV2</x:v>
      </x:c>
      <x:c r="C227" s="9"/>
      <x:c r="D227" s="9"/>
      <x:c r="E227" s="9" t="str">
        <x:v>STAY UPPER 0092</x:v>
      </x:c>
      <x:c r="F227" s="9" t="str">
        <x:v>1188861-AA</x:v>
      </x:c>
      <x:c r="G227" s="9"/>
      <x:c r="H227" s="12" t="n">
        <x:v>5000</x:v>
      </x:c>
      <x:c r="I227" s="12" t="n">
        <x:v>1275</x:v>
      </x:c>
      <x:c r="J227" s="12" t="n">
        <x:v>1</x:v>
      </x:c>
      <x:c r="K227" s="12" t="n">
        <x:f>IFERROR(I227*26*J227,0)</x:f>
        <x:v>33150</x:v>
      </x:c>
      <x:c r="L227" s="12" t="n">
        <x:f>IFERROR(H227/I227,0)</x:f>
        <x:v>3.9215686274509802</x:v>
      </x:c>
      <x:c r="M227" s="12" t="n">
        <x:f>IFERROR(26*J227,0)</x:f>
        <x:v>26</x:v>
      </x:c>
      <x:c r="N227" s="14" t="n">
        <x:f>IFERROR(L227/M227,0)</x:f>
        <x:v>0.15082956259426847</x:v>
      </x:c>
      <x:c r="O227" s="14" t="n">
        <x:v>0.85</x:v>
      </x:c>
      <x:c r="P227" s="9" t="n">
        <x:v>1</x:v>
      </x:c>
      <x:c r="Q227" s="9"/>
      <x:c r="R227" s="10" t="str">
        <x:f>IF(N227&gt;1,"Over capacity",IF(N227&gt;=0.85,"High load",IF(N227&gt;=0.5,"Normal","Low load")))</x:f>
        <x:v>Low load</x:v>
      </x:c>
    </x:row>
    <x:row r="228">
      <x:c r="A228" s="8" t="str">
        <x:v>Rivet</x:v>
      </x:c>
      <x:c r="B228" s="9" t="str">
        <x:v>M/C :RV2</x:v>
      </x:c>
      <x:c r="C228" s="9"/>
      <x:c r="D228" s="9"/>
      <x:c r="E228" s="9" t="str">
        <x:v>STAY UPPER 0092</x:v>
      </x:c>
      <x:c r="F228" s="9" t="str">
        <x:v>1188862-AA</x:v>
      </x:c>
      <x:c r="G228" s="9"/>
      <x:c r="H228" s="12" t="n">
        <x:v>5000</x:v>
      </x:c>
      <x:c r="I228" s="12" t="n">
        <x:v>1275</x:v>
      </x:c>
      <x:c r="J228" s="12" t="n">
        <x:v>1</x:v>
      </x:c>
      <x:c r="K228" s="12" t="n">
        <x:f>IFERROR(I228*26*J228,0)</x:f>
        <x:v>33150</x:v>
      </x:c>
      <x:c r="L228" s="12" t="n">
        <x:f>IFERROR(H228/I228,0)</x:f>
        <x:v>3.9215686274509802</x:v>
      </x:c>
      <x:c r="M228" s="12" t="n">
        <x:f>IFERROR(26*J228,0)</x:f>
        <x:v>26</x:v>
      </x:c>
      <x:c r="N228" s="14" t="n">
        <x:f>IFERROR(L228/M228,0)</x:f>
        <x:v>0.15082956259426847</x:v>
      </x:c>
      <x:c r="O228" s="14" t="n">
        <x:v>0.85</x:v>
      </x:c>
      <x:c r="P228" s="9" t="n">
        <x:v>1</x:v>
      </x:c>
      <x:c r="Q228" s="9"/>
      <x:c r="R228" s="10" t="str">
        <x:f>IF(N228&gt;1,"Over capacity",IF(N228&gt;=0.85,"High load",IF(N228&gt;=0.5,"Normal","Low load")))</x:f>
        <x:v>Low load</x:v>
      </x:c>
    </x:row>
    <x:row r="229">
      <x:c r="A229" s="8" t="str">
        <x:v>Rivet</x:v>
      </x:c>
      <x:c r="B229" s="9" t="str">
        <x:v>M/C :RV2</x:v>
      </x:c>
      <x:c r="C229" s="9"/>
      <x:c r="D229" s="9"/>
      <x:c r="E229" s="9"/>
      <x:c r="F229" s="9" t="str">
        <x:v>5038788-AA</x:v>
      </x:c>
      <x:c r="G229" s="9"/>
      <x:c r="H229" s="12" t="n">
        <x:v>5000</x:v>
      </x:c>
      <x:c r="I229" s="12" t="n">
        <x:v>1275</x:v>
      </x:c>
      <x:c r="J229" s="12" t="n">
        <x:v>1</x:v>
      </x:c>
      <x:c r="K229" s="12" t="n">
        <x:f>IFERROR(I229*26*J229,0)</x:f>
        <x:v>33150</x:v>
      </x:c>
      <x:c r="L229" s="12" t="n">
        <x:f>IFERROR(H229/I229,0)</x:f>
        <x:v>3.9215686274509802</x:v>
      </x:c>
      <x:c r="M229" s="12" t="n">
        <x:f>IFERROR(26*J229,0)</x:f>
        <x:v>26</x:v>
      </x:c>
      <x:c r="N229" s="14" t="n">
        <x:f>IFERROR(L229/M229,0)</x:f>
        <x:v>0.15082956259426847</x:v>
      </x:c>
      <x:c r="O229" s="14" t="n">
        <x:v>0.85</x:v>
      </x:c>
      <x:c r="P229" s="9" t="n">
        <x:v>1</x:v>
      </x:c>
      <x:c r="Q229" s="9"/>
      <x:c r="R229" s="10" t="str">
        <x:f>IF(N229&gt;1,"Over capacity",IF(N229&gt;=0.85,"High load",IF(N229&gt;=0.5,"Normal","Low load")))</x:f>
        <x:v>Low load</x:v>
      </x:c>
    </x:row>
    <x:row r="230">
      <x:c r="A230" s="8" t="str">
        <x:v>Rivet</x:v>
      </x:c>
      <x:c r="B230" s="9" t="str">
        <x:v>M/C :RV2</x:v>
      </x:c>
      <x:c r="C230" s="9"/>
      <x:c r="D230" s="9"/>
      <x:c r="E230" s="9"/>
      <x:c r="F230" s="9" t="str">
        <x:v>5038789-AA</x:v>
      </x:c>
      <x:c r="G230" s="9"/>
      <x:c r="H230" s="12" t="n">
        <x:v>5000</x:v>
      </x:c>
      <x:c r="I230" s="12" t="n">
        <x:v>1275</x:v>
      </x:c>
      <x:c r="J230" s="12" t="n">
        <x:v>1</x:v>
      </x:c>
      <x:c r="K230" s="12" t="n">
        <x:f>IFERROR(I230*26*J230,0)</x:f>
        <x:v>33150</x:v>
      </x:c>
      <x:c r="L230" s="12" t="n">
        <x:f>IFERROR(H230/I230,0)</x:f>
        <x:v>3.9215686274509802</x:v>
      </x:c>
      <x:c r="M230" s="12" t="n">
        <x:f>IFERROR(26*J230,0)</x:f>
        <x:v>26</x:v>
      </x:c>
      <x:c r="N230" s="14" t="n">
        <x:f>IFERROR(L230/M230,0)</x:f>
        <x:v>0.15082956259426847</x:v>
      </x:c>
      <x:c r="O230" s="14" t="n">
        <x:v>0.85</x:v>
      </x:c>
      <x:c r="P230" s="9" t="n">
        <x:v>1</x:v>
      </x:c>
      <x:c r="Q230" s="9"/>
      <x:c r="R230" s="10" t="str">
        <x:f>IF(N230&gt;1,"Over capacity",IF(N230&gt;=0.85,"High load",IF(N230&gt;=0.5,"Normal","Low load")))</x:f>
        <x:v>Low load</x:v>
      </x:c>
    </x:row>
    <x:row r="231">
      <x:c r="A231" s="8" t="str">
        <x:v>Rivet</x:v>
      </x:c>
      <x:c r="B231" s="9" t="str">
        <x:v>M/C :RV2</x:v>
      </x:c>
      <x:c r="C231" s="9"/>
      <x:c r="D231" s="9"/>
      <x:c r="E231" s="9" t="str">
        <x:v>CE BASE UNIT RR 5677</x:v>
      </x:c>
      <x:c r="F231" s="9" t="str">
        <x:v>1185677-AB</x:v>
      </x:c>
      <x:c r="G231" s="9"/>
      <x:c r="H231" s="12" t="n">
        <x:v>5000</x:v>
      </x:c>
      <x:c r="I231" s="12" t="n">
        <x:v>1275</x:v>
      </x:c>
      <x:c r="J231" s="12" t="n">
        <x:v>1</x:v>
      </x:c>
      <x:c r="K231" s="12" t="n">
        <x:f>IFERROR(I231*26*J231,0)</x:f>
        <x:v>33150</x:v>
      </x:c>
      <x:c r="L231" s="12" t="n">
        <x:f>IFERROR(H231/I231,0)</x:f>
        <x:v>3.9215686274509802</x:v>
      </x:c>
      <x:c r="M231" s="12" t="n">
        <x:f>IFERROR(26*J231,0)</x:f>
        <x:v>26</x:v>
      </x:c>
      <x:c r="N231" s="14" t="n">
        <x:f>IFERROR(L231/M231,0)</x:f>
        <x:v>0.15082956259426847</x:v>
      </x:c>
      <x:c r="O231" s="14" t="n">
        <x:v>0.85</x:v>
      </x:c>
      <x:c r="P231" s="9" t="n">
        <x:v>1</x:v>
      </x:c>
      <x:c r="Q231" s="9"/>
      <x:c r="R231" s="10" t="str">
        <x:f>IF(N231&gt;1,"Over capacity",IF(N231&gt;=0.85,"High load",IF(N231&gt;=0.5,"Normal","Low load")))</x:f>
        <x:v>Low load</x:v>
      </x:c>
    </x:row>
    <x:row r="232">
      <x:c r="A232" s="8" t="str">
        <x:v>CNC一共 6台</x:v>
      </x:c>
      <x:c r="B232" s="9" t="str">
        <x:v>3-Axis CNC</x:v>
      </x:c>
      <x:c r="C232" s="9"/>
      <x:c r="D232" s="9"/>
      <x:c r="E232" s="9" t="str">
        <x:v>PASSIVE BRACKET</x:v>
      </x:c>
      <x:c r="F232" s="9" t="str">
        <x:v>SB-068A-2</x:v>
      </x:c>
      <x:c r="G232" s="9"/>
      <x:c r="H232" s="12" t="n">
        <x:v>4000</x:v>
      </x:c>
      <x:c r="I232" s="12" t="n">
        <x:v>195.65</x:v>
      </x:c>
      <x:c r="J232" s="12" t="n">
        <x:v>1</x:v>
      </x:c>
      <x:c r="K232" s="12" t="n">
        <x:f>IFERROR(I232*26*J232,0)</x:f>
        <x:v>5086.900000000001</x:v>
      </x:c>
      <x:c r="L232" s="12" t="n">
        <x:f>IFERROR(H232/I232,0)</x:f>
        <x:v>20.444671607462304</x:v>
      </x:c>
      <x:c r="M232" s="12" t="n">
        <x:f>IFERROR(26*J232,0)</x:f>
        <x:v>26</x:v>
      </x:c>
      <x:c r="N232" s="14" t="n">
        <x:f>IFERROR(L232/M232,0)</x:f>
        <x:v>0.7863335233639348</x:v>
      </x:c>
      <x:c r="O232" s="14" t="n">
        <x:v>0.75</x:v>
      </x:c>
      <x:c r="P232" s="9" t="n">
        <x:v>1</x:v>
      </x:c>
      <x:c r="Q232" s="9" t="n">
        <x:v>138</x:v>
      </x:c>
      <x:c r="R232" s="10" t="str">
        <x:f>IF(N232&gt;1,"Over capacity",IF(N232&gt;=0.85,"High load",IF(N232&gt;=0.5,"Normal","Low load")))</x:f>
        <x:v>Normal</x:v>
      </x:c>
    </x:row>
    <x:row r="233">
      <x:c r="A233" s="8" t="str">
        <x:v>CNC一共 6台</x:v>
      </x:c>
      <x:c r="B233" s="9" t="str">
        <x:v>3-Axis CNC</x:v>
      </x:c>
      <x:c r="C233" s="9"/>
      <x:c r="D233" s="9"/>
      <x:c r="E233" s="9" t="str">
        <x:v>Bracket</x:v>
      </x:c>
      <x:c r="F233" s="9" t="str">
        <x:v>SB-075A-1</x:v>
      </x:c>
      <x:c r="G233" s="9"/>
      <x:c r="H233" s="12" t="n">
        <x:v>25000</x:v>
      </x:c>
      <x:c r="I233" s="12" t="n">
        <x:v>675</x:v>
      </x:c>
      <x:c r="J233" s="12" t="n">
        <x:v>1</x:v>
      </x:c>
      <x:c r="K233" s="12" t="n">
        <x:f>IFERROR(I233*26*J233,0)</x:f>
        <x:v>17550</x:v>
      </x:c>
      <x:c r="L233" s="12" t="n">
        <x:f>IFERROR(H233/I233,0)</x:f>
        <x:v>37.03703703703704</x:v>
      </x:c>
      <x:c r="M233" s="12" t="n">
        <x:f>IFERROR(26*J233,0)</x:f>
        <x:v>26</x:v>
      </x:c>
      <x:c r="N233" s="14" t="n">
        <x:f>IFERROR(L233/M233,0)</x:f>
        <x:v>1.4245014245014245</x:v>
      </x:c>
      <x:c r="O233" s="14" t="n">
        <x:v>0.75</x:v>
      </x:c>
      <x:c r="P233" s="9" t="n">
        <x:v>1</x:v>
      </x:c>
      <x:c r="Q233" s="9" t="n">
        <x:v>40</x:v>
      </x:c>
      <x:c r="R233" s="10" t="str">
        <x:f>IF(N233&gt;1,"Over capacity",IF(N233&gt;=0.85,"High load",IF(N233&gt;=0.5,"Normal","Low load")))</x:f>
        <x:v>Over capacity</x:v>
      </x:c>
    </x:row>
    <x:row r="234">
      <x:c r="A234" s="8" t="str">
        <x:v>CNC一共 6台</x:v>
      </x:c>
      <x:c r="B234" s="9" t="str">
        <x:v>3-Axis CNC</x:v>
      </x:c>
      <x:c r="C234" s="9"/>
      <x:c r="D234" s="9"/>
      <x:c r="E234" s="9" t="str">
        <x:v>3DU RESOLVER COVER</x:v>
      </x:c>
      <x:c r="F234" s="9" t="str">
        <x:v>0135-0800005</x:v>
      </x:c>
      <x:c r="G234" s="9"/>
      <x:c r="H234" s="12" t="n">
        <x:v>10000</x:v>
      </x:c>
      <x:c r="I234" s="12" t="n">
        <x:v>257.14</x:v>
      </x:c>
      <x:c r="J234" s="12" t="n">
        <x:v>1</x:v>
      </x:c>
      <x:c r="K234" s="12" t="n">
        <x:f>IFERROR(I234*26*J234,0)</x:f>
        <x:v>6685.639999999999</x:v>
      </x:c>
      <x:c r="L234" s="12" t="n">
        <x:f>IFERROR(H234/I234,0)</x:f>
        <x:v>38.889320992455474</x:v>
      </x:c>
      <x:c r="M234" s="12" t="n">
        <x:f>IFERROR(26*J234,0)</x:f>
        <x:v>26</x:v>
      </x:c>
      <x:c r="N234" s="14" t="n">
        <x:f>IFERROR(L234/M234,0)</x:f>
        <x:v>1.4957431150944414</x:v>
      </x:c>
      <x:c r="O234" s="14" t="n">
        <x:v>0.75</x:v>
      </x:c>
      <x:c r="P234" s="9" t="n">
        <x:v>2</x:v>
      </x:c>
      <x:c r="Q234" s="9" t="n">
        <x:v>210</x:v>
      </x:c>
      <x:c r="R234" s="10" t="str">
        <x:f>IF(N234&gt;1,"Over capacity",IF(N234&gt;=0.85,"High load",IF(N234&gt;=0.5,"Normal","Low load")))</x:f>
        <x:v>Over capacity</x:v>
      </x:c>
    </x:row>
    <x:row r="235">
      <x:c r="A235" s="8" t="str">
        <x:v>CNC一共 6台</x:v>
      </x:c>
      <x:c r="B235" s="9" t="str">
        <x:v>3-Axis CNC</x:v>
      </x:c>
      <x:c r="C235" s="9"/>
      <x:c r="D235" s="9"/>
      <x:c r="E235" s="9" t="str">
        <x:v>ASSIVE BRKT</x:v>
      </x:c>
      <x:c r="F235" s="9" t="str">
        <x:v>SB-092A-2</x:v>
      </x:c>
      <x:c r="G235" s="9"/>
      <x:c r="H235" s="12" t="n">
        <x:v>1700</x:v>
      </x:c>
      <x:c r="I235" s="12" t="n">
        <x:v>114.89</x:v>
      </x:c>
      <x:c r="J235" s="12" t="n">
        <x:v>1</x:v>
      </x:c>
      <x:c r="K235" s="12" t="n">
        <x:f>IFERROR(I235*26*J235,0)</x:f>
        <x:v>2987.14</x:v>
      </x:c>
      <x:c r="L235" s="12" t="n">
        <x:f>IFERROR(H235/I235,0)</x:f>
        <x:v>14.796762120288973</x:v>
      </x:c>
      <x:c r="M235" s="12" t="n">
        <x:f>IFERROR(26*J235,0)</x:f>
        <x:v>26</x:v>
      </x:c>
      <x:c r="N235" s="14" t="n">
        <x:f>IFERROR(L235/M235,0)</x:f>
        <x:v>0.5691062353957297</x:v>
      </x:c>
      <x:c r="O235" s="14" t="n">
        <x:v>0.75</x:v>
      </x:c>
      <x:c r="P235" s="9" t="n">
        <x:v>1</x:v>
      </x:c>
      <x:c r="Q235" s="9" t="n">
        <x:v>235</x:v>
      </x:c>
      <x:c r="R235" s="10" t="str">
        <x:f>IF(N235&gt;1,"Over capacity",IF(N235&gt;=0.85,"High load",IF(N235&gt;=0.5,"Normal","Low load")))</x:f>
        <x:v>Normal</x:v>
      </x:c>
    </x:row>
    <x:row r="236">
      <x:c r="A236" s="8" t="str">
        <x:v>CNC一共 6台</x:v>
      </x:c>
      <x:c r="B236" s="9" t="str">
        <x:v>3-Axis CNC</x:v>
      </x:c>
      <x:c r="C236" s="9"/>
      <x:c r="D236" s="9"/>
      <x:c r="E236" s="9"/>
      <x:c r="F236" s="9" t="str">
        <x:v>TM-865A-2</x:v>
      </x:c>
      <x:c r="G236" s="9"/>
      <x:c r="H236" s="12" t="n">
        <x:v>50370</x:v>
      </x:c>
      <x:c r="I236" s="12" t="n">
        <x:v>2700</x:v>
      </x:c>
      <x:c r="J236" s="12" t="n">
        <x:v>1</x:v>
      </x:c>
      <x:c r="K236" s="12" t="n">
        <x:f>IFERROR(I236*26*J236,0)</x:f>
        <x:v>70200</x:v>
      </x:c>
      <x:c r="L236" s="12" t="n">
        <x:f>IFERROR(H236/I236,0)</x:f>
        <x:v>18.655555555555555</x:v>
      </x:c>
      <x:c r="M236" s="12" t="n">
        <x:f>IFERROR(26*J236,0)</x:f>
        <x:v>26</x:v>
      </x:c>
      <x:c r="N236" s="14" t="n">
        <x:f>IFERROR(L236/M236,0)</x:f>
        <x:v>0.7175213675213675</x:v>
      </x:c>
      <x:c r="O236" s="14" t="n">
        <x:v>0.75</x:v>
      </x:c>
      <x:c r="P236" s="9" t="n">
        <x:v>4</x:v>
      </x:c>
      <x:c r="Q236" s="9" t="n">
        <x:v>40</x:v>
      </x:c>
      <x:c r="R236" s="10" t="str">
        <x:f>IF(N236&gt;1,"Over capacity",IF(N236&gt;=0.85,"High load",IF(N236&gt;=0.5,"Normal","Low load")))</x:f>
        <x:v>Normal</x:v>
      </x:c>
    </x:row>
    <x:row r="237">
      <x:c r="A237" s="8" t="str">
        <x:v>CNC一共 6台</x:v>
      </x:c>
      <x:c r="B237" s="9" t="str">
        <x:v>3-Axis CNC</x:v>
      </x:c>
      <x:c r="C237" s="9"/>
      <x:c r="D237" s="9"/>
      <x:c r="E237" s="9" t="str">
        <x:v>BRKT</x:v>
      </x:c>
      <x:c r="F237" s="9" t="str">
        <x:v>TH-523A-1</x:v>
      </x:c>
      <x:c r="G237" s="9"/>
      <x:c r="H237" s="12" t="n">
        <x:v>1000</x:v>
      </x:c>
      <x:c r="I237" s="12" t="n">
        <x:v>450</x:v>
      </x:c>
      <x:c r="J237" s="12" t="n">
        <x:v>1</x:v>
      </x:c>
      <x:c r="K237" s="12" t="n">
        <x:f>IFERROR(I237*26*J237,0)</x:f>
        <x:v>11700</x:v>
      </x:c>
      <x:c r="L237" s="12" t="n">
        <x:f>IFERROR(H237/I237,0)</x:f>
        <x:v>2.2222222222222223</x:v>
      </x:c>
      <x:c r="M237" s="12" t="n">
        <x:f>IFERROR(26*J237,0)</x:f>
        <x:v>26</x:v>
      </x:c>
      <x:c r="N237" s="14" t="n">
        <x:f>IFERROR(L237/M237,0)</x:f>
        <x:v>0.08547008547008547</x:v>
      </x:c>
      <x:c r="O237" s="14" t="n">
        <x:v>0.75</x:v>
      </x:c>
      <x:c r="P237" s="9" t="n">
        <x:v>1</x:v>
      </x:c>
      <x:c r="Q237" s="9" t="n">
        <x:v>60</x:v>
      </x:c>
      <x:c r="R237" s="10" t="str">
        <x:f>IF(N237&gt;1,"Over capacity",IF(N237&gt;=0.85,"High load",IF(N237&gt;=0.5,"Normal","Low load")))</x:f>
        <x:v>Low load</x:v>
      </x:c>
    </x:row>
    <x:row r="238">
      <x:c r="A238" s="8" t="str">
        <x:v>CNC一共 6台</x:v>
      </x:c>
      <x:c r="B238" s="9" t="str">
        <x:v>3-Axis CNC</x:v>
      </x:c>
      <x:c r="C238" s="9"/>
      <x:c r="D238" s="9"/>
      <x:c r="E238" s="9" t="str">
        <x:v>LOWER SHEET METAL ASSEMBLY</x:v>
      </x:c>
      <x:c r="F238" s="9" t="str">
        <x:v>10383086</x:v>
      </x:c>
      <x:c r="G238" s="9"/>
      <x:c r="H238" s="12" t="n">
        <x:v>10000</x:v>
      </x:c>
      <x:c r="I238" s="12" t="n">
        <x:v>200</x:v>
      </x:c>
      <x:c r="J238" s="12" t="n">
        <x:v>1</x:v>
      </x:c>
      <x:c r="K238" s="12" t="n">
        <x:f>IFERROR(I238*26*J238,0)</x:f>
        <x:v>5200</x:v>
      </x:c>
      <x:c r="L238" s="12" t="n">
        <x:f>IFERROR(H238/I238,0)</x:f>
        <x:v>50</x:v>
      </x:c>
      <x:c r="M238" s="12" t="n">
        <x:f>IFERROR(26*J238,0)</x:f>
        <x:v>26</x:v>
      </x:c>
      <x:c r="N238" s="14" t="n">
        <x:f>IFERROR(L238/M238,0)</x:f>
        <x:v>1.9230769230769231</x:v>
      </x:c>
      <x:c r="O238" s="14" t="n">
        <x:v>0.75</x:v>
      </x:c>
      <x:c r="P238" s="9" t="n">
        <x:v>4</x:v>
      </x:c>
      <x:c r="Q238" s="9" t="n">
        <x:v>540</x:v>
      </x:c>
      <x:c r="R238" s="10" t="str">
        <x:f>IF(N238&gt;1,"Over capacity",IF(N238&gt;=0.85,"High load",IF(N238&gt;=0.5,"Normal","Low load")))</x:f>
        <x:v>Over capacity</x:v>
      </x:c>
    </x:row>
    <x:row r="239">
      <x:c r="A239" s="8" t="str">
        <x:v>CNC一共 6台</x:v>
      </x:c>
      <x:c r="B239" s="9" t="str">
        <x:v>3-Axis CNC</x:v>
      </x:c>
      <x:c r="C239" s="9"/>
      <x:c r="D239" s="9"/>
      <x:c r="E239" s="9"/>
      <x:c r="F239" s="9" t="str">
        <x:v>TH-403A-1</x:v>
      </x:c>
      <x:c r="G239" s="9"/>
      <x:c r="H239" s="12" t="n">
        <x:v>2000</x:v>
      </x:c>
      <x:c r="I239" s="12" t="n">
        <x:v>150</x:v>
      </x:c>
      <x:c r="J239" s="12" t="n">
        <x:v>1</x:v>
      </x:c>
      <x:c r="K239" s="12" t="n">
        <x:f>IFERROR(I239*26*J239,0)</x:f>
        <x:v>3900</x:v>
      </x:c>
      <x:c r="L239" s="12" t="n">
        <x:f>IFERROR(H239/I239,0)</x:f>
        <x:v>13.333333333333334</x:v>
      </x:c>
      <x:c r="M239" s="12" t="n">
        <x:f>IFERROR(26*J239,0)</x:f>
        <x:v>26</x:v>
      </x:c>
      <x:c r="N239" s="14" t="n">
        <x:f>IFERROR(L239/M239,0)</x:f>
        <x:v>0.5128205128205129</x:v>
      </x:c>
      <x:c r="O239" s="14" t="n">
        <x:v>0.75</x:v>
      </x:c>
      <x:c r="P239" s="9" t="n">
        <x:v>1</x:v>
      </x:c>
      <x:c r="Q239" s="9" t="n">
        <x:v>180</x:v>
      </x:c>
      <x:c r="R239" s="10" t="str">
        <x:f>IF(N239&gt;1,"Over capacity",IF(N239&gt;=0.85,"High load",IF(N239&gt;=0.5,"Normal","Low load")))</x:f>
        <x:v>Normal</x:v>
      </x:c>
    </x:row>
    <x:row r="240">
      <x:c r="A240" s="8" t="str">
        <x:v>CNC一共 6台</x:v>
      </x:c>
      <x:c r="B240" s="9" t="str">
        <x:v>3-Axis CNC</x:v>
      </x:c>
      <x:c r="C240" s="9"/>
      <x:c r="D240" s="9"/>
      <x:c r="E240" s="9" t="str">
        <x:v>INNER</x:v>
      </x:c>
      <x:c r="F240" s="9" t="str">
        <x:v>11-728</x:v>
      </x:c>
      <x:c r="G240" s="9"/>
      <x:c r="H240" s="12" t="n">
        <x:v>10000</x:v>
      </x:c>
      <x:c r="I240" s="12" t="n">
        <x:v>2700</x:v>
      </x:c>
      <x:c r="J240" s="12" t="n">
        <x:v>1</x:v>
      </x:c>
      <x:c r="K240" s="12" t="n">
        <x:f>IFERROR(I240*26*J240,0)</x:f>
        <x:v>70200</x:v>
      </x:c>
      <x:c r="L240" s="12" t="n">
        <x:f>IFERROR(H240/I240,0)</x:f>
        <x:v>3.7037037037037037</x:v>
      </x:c>
      <x:c r="M240" s="12" t="n">
        <x:f>IFERROR(26*J240,0)</x:f>
        <x:v>26</x:v>
      </x:c>
      <x:c r="N240" s="14" t="n">
        <x:f>IFERROR(L240/M240,0)</x:f>
        <x:v>0.14245014245014245</x:v>
      </x:c>
      <x:c r="O240" s="14" t="n">
        <x:v>0.75</x:v>
      </x:c>
      <x:c r="P240" s="9" t="n">
        <x:v>3</x:v>
      </x:c>
      <x:c r="Q240" s="9" t="n">
        <x:v>30</x:v>
      </x:c>
      <x:c r="R240" s="10" t="str">
        <x:f>IF(N240&gt;1,"Over capacity",IF(N240&gt;=0.85,"High load",IF(N240&gt;=0.5,"Normal","Low load")))</x:f>
        <x:v>Low load</x:v>
      </x:c>
    </x:row>
    <x:row r="241">
      <x:c r="A241" s="8" t="str">
        <x:v>CNC一共 6台</x:v>
      </x:c>
      <x:c r="B241" s="9" t="str">
        <x:v>3-Axis CNC</x:v>
      </x:c>
      <x:c r="C241" s="9"/>
      <x:c r="D241" s="9"/>
      <x:c r="E241" s="9" t="str">
        <x:v>INNER</x:v>
      </x:c>
      <x:c r="F241" s="9" t="str">
        <x:v>11-711</x:v>
      </x:c>
      <x:c r="G241" s="9"/>
      <x:c r="H241" s="12" t="n">
        <x:v>10000</x:v>
      </x:c>
      <x:c r="I241" s="12" t="n">
        <x:v>1080</x:v>
      </x:c>
      <x:c r="J241" s="12" t="n">
        <x:v>1</x:v>
      </x:c>
      <x:c r="K241" s="12" t="n">
        <x:f>IFERROR(I241*26*J241,0)</x:f>
        <x:v>28080</x:v>
      </x:c>
      <x:c r="L241" s="12" t="n">
        <x:f>IFERROR(H241/I241,0)</x:f>
        <x:v>9.25925925925926</x:v>
      </x:c>
      <x:c r="M241" s="12" t="n">
        <x:f>IFERROR(26*J241,0)</x:f>
        <x:v>26</x:v>
      </x:c>
      <x:c r="N241" s="14" t="n">
        <x:f>IFERROR(L241/M241,0)</x:f>
        <x:v>0.3561253561253561</x:v>
      </x:c>
      <x:c r="O241" s="14" t="n">
        <x:v>0.75</x:v>
      </x:c>
      <x:c r="P241" s="9" t="n">
        <x:v>2</x:v>
      </x:c>
      <x:c r="Q241" s="9" t="n">
        <x:v>50</x:v>
      </x:c>
      <x:c r="R241" s="10" t="str">
        <x:f>IF(N241&gt;1,"Over capacity",IF(N241&gt;=0.85,"High load",IF(N241&gt;=0.5,"Normal","Low load")))</x:f>
        <x:v>Low load</x:v>
      </x:c>
    </x:row>
    <x:row r="242">
      <x:c r="A242" s="8" t="str">
        <x:v>CNC一共 6台</x:v>
      </x:c>
      <x:c r="B242" s="9" t="str">
        <x:v>4-Axis CNC</x:v>
      </x:c>
      <x:c r="C242" s="9"/>
      <x:c r="D242" s="9"/>
      <x:c r="E242" s="9" t="str">
        <x:v>RHS ACTIVE BRACKET</x:v>
      </x:c>
      <x:c r="F242" s="9" t="str">
        <x:v>SB-069A-1</x:v>
      </x:c>
      <x:c r="G242" s="9"/>
      <x:c r="H242" s="12" t="n">
        <x:v>4500</x:v>
      </x:c>
      <x:c r="I242" s="12" t="n">
        <x:v>93.1</x:v>
      </x:c>
      <x:c r="J242" s="12" t="n">
        <x:v>1</x:v>
      </x:c>
      <x:c r="K242" s="12" t="n">
        <x:f>IFERROR(I242*26*J242,0)</x:f>
        <x:v>2420.6</x:v>
      </x:c>
      <x:c r="L242" s="12" t="n">
        <x:f>IFERROR(H242/I242,0)</x:f>
        <x:v>48.33512352309345</x:v>
      </x:c>
      <x:c r="M242" s="12" t="n">
        <x:f>IFERROR(26*J242,0)</x:f>
        <x:v>26</x:v>
      </x:c>
      <x:c r="N242" s="14" t="n">
        <x:f>IFERROR(L242/M242,0)</x:f>
        <x:v>1.8590432124266711</x:v>
      </x:c>
      <x:c r="O242" s="14" t="n">
        <x:v>0.75</x:v>
      </x:c>
      <x:c r="P242" s="9" t="n">
        <x:v>1</x:v>
      </x:c>
      <x:c r="Q242" s="9" t="n">
        <x:v>290</x:v>
      </x:c>
      <x:c r="R242" s="10" t="str">
        <x:f>IF(N242&gt;1,"Over capacity",IF(N242&gt;=0.85,"High load",IF(N242&gt;=0.5,"Normal","Low load")))</x:f>
        <x:v>Over capacity</x:v>
      </x:c>
    </x:row>
    <x:row r="243">
      <x:c r="A243" s="8" t="str">
        <x:v>CNC一共 6台</x:v>
      </x:c>
      <x:c r="B243" s="9" t="str">
        <x:v>4-Axis CNC</x:v>
      </x:c>
      <x:c r="C243" s="9"/>
      <x:c r="D243" s="9"/>
      <x:c r="E243" s="9" t="str">
        <x:v>BRKT</x:v>
      </x:c>
      <x:c r="F243" s="9" t="str">
        <x:v>TH-524A-1</x:v>
      </x:c>
      <x:c r="G243" s="9"/>
      <x:c r="H243" s="12" t="n">
        <x:v>2000</x:v>
      </x:c>
      <x:c r="I243" s="12" t="n">
        <x:v>150</x:v>
      </x:c>
      <x:c r="J243" s="12" t="n">
        <x:v>1</x:v>
      </x:c>
      <x:c r="K243" s="12" t="n">
        <x:f>IFERROR(I243*26*J243,0)</x:f>
        <x:v>3900</x:v>
      </x:c>
      <x:c r="L243" s="12" t="n">
        <x:f>IFERROR(H243/I243,0)</x:f>
        <x:v>13.333333333333334</x:v>
      </x:c>
      <x:c r="M243" s="12" t="n">
        <x:f>IFERROR(26*J243,0)</x:f>
        <x:v>26</x:v>
      </x:c>
      <x:c r="N243" s="14" t="n">
        <x:f>IFERROR(L243/M243,0)</x:f>
        <x:v>0.5128205128205129</x:v>
      </x:c>
      <x:c r="O243" s="14" t="n">
        <x:v>0.75</x:v>
      </x:c>
      <x:c r="P243" s="9" t="n">
        <x:v>1</x:v>
      </x:c>
      <x:c r="Q243" s="9" t="n">
        <x:v>180</x:v>
      </x:c>
      <x:c r="R243" s="10" t="str">
        <x:f>IF(N243&gt;1,"Over capacity",IF(N243&gt;=0.85,"High load",IF(N243&gt;=0.5,"Normal","Low load")))</x:f>
        <x:v>Normal</x:v>
      </x:c>
    </x:row>
    <x:row r="244">
      <x:c r="A244" s="8" t="str">
        <x:v>压铸机 350T</x:v>
      </x:c>
      <x:c r="B244" s="9" t="str">
        <x:v>CNC 压铸机</x:v>
      </x:c>
      <x:c r="C244" s="9"/>
      <x:c r="D244" s="9"/>
      <x:c r="E244" s="9"/>
      <x:c r="F244" s="9" t="str">
        <x:v>SB-068A-2</x:v>
      </x:c>
      <x:c r="G244" s="9"/>
      <x:c r="H244" s="12" t="n">
        <x:v>4000</x:v>
      </x:c>
      <x:c r="I244" s="12" t="n">
        <x:v>420</x:v>
      </x:c>
      <x:c r="J244" s="12" t="n">
        <x:v>1</x:v>
      </x:c>
      <x:c r="K244" s="12" t="n">
        <x:f>IFERROR(I244*26*J244,0)</x:f>
        <x:v>10920</x:v>
      </x:c>
      <x:c r="L244" s="12" t="n">
        <x:f>IFERROR(H244/I244,0)</x:f>
        <x:v>9.523809523809524</x:v>
      </x:c>
      <x:c r="M244" s="12" t="n">
        <x:f>IFERROR(26*J244,0)</x:f>
        <x:v>26</x:v>
      </x:c>
      <x:c r="N244" s="14" t="n">
        <x:f>IFERROR(L244/M244,0)</x:f>
        <x:v>0.3663003663003663</x:v>
      </x:c>
      <x:c r="O244" s="14" t="n">
        <x:v>0.7</x:v>
      </x:c>
      <x:c r="P244" s="9" t="n">
        <x:v>1</x:v>
      </x:c>
      <x:c r="Q244" s="9" t="n">
        <x:v>60</x:v>
      </x:c>
      <x:c r="R244" s="10" t="str">
        <x:f>IF(N244&gt;1,"Over capacity",IF(N244&gt;=0.85,"High load",IF(N244&gt;=0.5,"Normal","Low load")))</x:f>
        <x:v>Low load</x:v>
      </x:c>
    </x:row>
    <x:row r="245">
      <x:c r="A245" s="8" t="str">
        <x:v>压铸机 350T</x:v>
      </x:c>
      <x:c r="B245" s="9" t="str">
        <x:v>CNC 压铸机</x:v>
      </x:c>
      <x:c r="C245" s="9"/>
      <x:c r="D245" s="9"/>
      <x:c r="E245" s="9"/>
      <x:c r="F245" s="9" t="str">
        <x:v>SB-075A-1</x:v>
      </x:c>
      <x:c r="G245" s="9"/>
      <x:c r="H245" s="12" t="n">
        <x:v>15000</x:v>
      </x:c>
      <x:c r="I245" s="12" t="n">
        <x:v>840</x:v>
      </x:c>
      <x:c r="J245" s="12" t="n">
        <x:v>1</x:v>
      </x:c>
      <x:c r="K245" s="12" t="n">
        <x:f>IFERROR(I245*26*J245,0)</x:f>
        <x:v>21840</x:v>
      </x:c>
      <x:c r="L245" s="12" t="n">
        <x:f>IFERROR(H245/I245,0)</x:f>
        <x:v>17.857142857142858</x:v>
      </x:c>
      <x:c r="M245" s="12" t="n">
        <x:f>IFERROR(26*J245,0)</x:f>
        <x:v>26</x:v>
      </x:c>
      <x:c r="N245" s="14" t="n">
        <x:f>IFERROR(L245/M245,0)</x:f>
        <x:v>0.6868131868131868</x:v>
      </x:c>
      <x:c r="O245" s="14" t="n">
        <x:v>0.7</x:v>
      </x:c>
      <x:c r="P245" s="9" t="n">
        <x:v>2</x:v>
      </x:c>
      <x:c r="Q245" s="9" t="n">
        <x:v>60</x:v>
      </x:c>
      <x:c r="R245" s="10" t="str">
        <x:f>IF(N245&gt;1,"Over capacity",IF(N245&gt;=0.85,"High load",IF(N245&gt;=0.5,"Normal","Low load")))</x:f>
        <x:v>Normal</x:v>
      </x:c>
    </x:row>
    <x:row r="246">
      <x:c r="A246" s="8" t="str">
        <x:v>压铸机 350T</x:v>
      </x:c>
      <x:c r="B246" s="9" t="str">
        <x:v>CNC 压铸机</x:v>
      </x:c>
      <x:c r="C246" s="9"/>
      <x:c r="D246" s="9"/>
      <x:c r="E246" s="9"/>
      <x:c r="F246" s="9" t="str">
        <x:v>TM-865A-2</x:v>
      </x:c>
      <x:c r="G246" s="9"/>
      <x:c r="H246" s="12" t="n">
        <x:v>65481</x:v>
      </x:c>
      <x:c r="I246" s="12" t="n">
        <x:v>3600</x:v>
      </x:c>
      <x:c r="J246" s="12" t="n">
        <x:v>1</x:v>
      </x:c>
      <x:c r="K246" s="12" t="n">
        <x:f>IFERROR(I246*26*J246,0)</x:f>
        <x:v>93600</x:v>
      </x:c>
      <x:c r="L246" s="12" t="n">
        <x:f>IFERROR(H246/I246,0)</x:f>
        <x:v>18.189166666666665</x:v>
      </x:c>
      <x:c r="M246" s="12" t="n">
        <x:f>IFERROR(26*J246,0)</x:f>
        <x:v>26</x:v>
      </x:c>
      <x:c r="N246" s="14" t="n">
        <x:f>IFERROR(L246/M246,0)</x:f>
        <x:v>0.6995833333333332</x:v>
      </x:c>
      <x:c r="O246" s="14" t="n">
        <x:v>0.8</x:v>
      </x:c>
      <x:c r="P246" s="9" t="n">
        <x:v>4</x:v>
      </x:c>
      <x:c r="Q246" s="9" t="n">
        <x:v>32</x:v>
      </x:c>
      <x:c r="R246" s="10" t="str">
        <x:f>IF(N246&gt;1,"Over capacity",IF(N246&gt;=0.85,"High load",IF(N246&gt;=0.5,"Normal","Low load")))</x:f>
        <x:v>Normal</x:v>
      </x:c>
    </x:row>
    <x:row r="247">
      <x:c r="A247" s="8" t="str">
        <x:v>压铸机 650T</x:v>
      </x:c>
      <x:c r="B247" s="9" t="str">
        <x:v>压铸机</x:v>
      </x:c>
      <x:c r="C247" s="9"/>
      <x:c r="D247" s="9"/>
      <x:c r="E247" s="9"/>
      <x:c r="F247" s="9" t="str">
        <x:v>SB-069A-1</x:v>
      </x:c>
      <x:c r="G247" s="9"/>
      <x:c r="H247" s="12" t="n">
        <x:v>4000</x:v>
      </x:c>
      <x:c r="I247" s="12" t="n">
        <x:v>360</x:v>
      </x:c>
      <x:c r="J247" s="12" t="n">
        <x:v>1</x:v>
      </x:c>
      <x:c r="K247" s="12" t="n">
        <x:f>IFERROR(I247*26*J247,0)</x:f>
        <x:v>9360</x:v>
      </x:c>
      <x:c r="L247" s="12" t="n">
        <x:f>IFERROR(H247/I247,0)</x:f>
        <x:v>11.11111111111111</x:v>
      </x:c>
      <x:c r="M247" s="12" t="n">
        <x:f>IFERROR(26*J247,0)</x:f>
        <x:v>26</x:v>
      </x:c>
      <x:c r="N247" s="14" t="n">
        <x:f>IFERROR(L247/M247,0)</x:f>
        <x:v>0.42735042735042733</x:v>
      </x:c>
      <x:c r="O247" s="14" t="n">
        <x:v>0.6</x:v>
      </x:c>
      <x:c r="P247" s="9" t="n">
        <x:v>1</x:v>
      </x:c>
      <x:c r="Q247" s="9" t="n">
        <x:v>60</x:v>
      </x:c>
      <x:c r="R247" s="10" t="str">
        <x:f>IF(N247&gt;1,"Over capacity",IF(N247&gt;=0.85,"High load",IF(N247&gt;=0.5,"Normal","Low load")))</x:f>
        <x:v>Low load</x:v>
      </x:c>
    </x:row>
    <x:row r="248">
      <x:c r="A248" s="8" t="str">
        <x:v>压铸机 650T</x:v>
      </x:c>
      <x:c r="B248" s="9" t="str">
        <x:v>压铸机</x:v>
      </x:c>
      <x:c r="C248" s="9"/>
      <x:c r="D248" s="9"/>
      <x:c r="E248" s="9"/>
      <x:c r="F248" s="9" t="str">
        <x:v>SB-092A2</x:v>
      </x:c>
      <x:c r="G248" s="9"/>
      <x:c r="H248" s="12" t="n">
        <x:v>1700</x:v>
      </x:c>
      <x:c r="I248" s="12" t="n">
        <x:v>360</x:v>
      </x:c>
      <x:c r="J248" s="12" t="n">
        <x:v>1</x:v>
      </x:c>
      <x:c r="K248" s="12" t="n">
        <x:f>IFERROR(I248*26*J248,0)</x:f>
        <x:v>9360</x:v>
      </x:c>
      <x:c r="L248" s="12" t="n">
        <x:f>IFERROR(H248/I248,0)</x:f>
        <x:v>4.722222222222222</x:v>
      </x:c>
      <x:c r="M248" s="12" t="n">
        <x:f>IFERROR(26*J248,0)</x:f>
        <x:v>26</x:v>
      </x:c>
      <x:c r="N248" s="14" t="n">
        <x:f>IFERROR(L248/M248,0)</x:f>
        <x:v>0.18162393162393162</x:v>
      </x:c>
      <x:c r="O248" s="14" t="n">
        <x:v>0.6</x:v>
      </x:c>
      <x:c r="P248" s="9" t="n">
        <x:v>1</x:v>
      </x:c>
      <x:c r="Q248" s="9" t="n">
        <x:v>60</x:v>
      </x:c>
      <x:c r="R248" s="10" t="str">
        <x:f>IF(N248&gt;1,"Over capacity",IF(N248&gt;=0.85,"High load",IF(N248&gt;=0.5,"Normal","Low load")))</x:f>
        <x:v>Low load</x:v>
      </x:c>
    </x:row>
  </x:sheetData>
  <x:pageMargins left="0.7" right="0.7" top="0.75" bottom="0.75" header="0.3" footer="0.3"/>
  <x:tableParts count="1">
    <x:tablePart xmlns:r="http://schemas.openxmlformats.org/officeDocument/2006/relationships" r:id="R900c424f24c54f8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2" hidden="0" customWidth="1"/>
  </x:cols>
  <x:sheetData>
    <x:row r="1">
      <x:c r="A1" s="17" t="str">
        <x:v>Assumptions and Formula Notes</x:v>
      </x:c>
      <x:c r="B1" s="18"/>
      <x:c r="C1" s="18"/>
      <x:c r="D1" s="19"/>
    </x:row>
    <x:row r="3">
      <x:c r="A3" s="107" t="str">
        <x:v>Source file</x:v>
      </x:c>
      <x:c r="B3" s="100" t="str">
        <x:v>30.5.2026 Capacity utilization rate workbook</x:v>
      </x:c>
    </x:row>
    <x:row r="4">
      <x:c r="A4" s="107" t="str">
        <x:v>Records analyzed</x:v>
      </x:c>
      <x:c r="B4" s="100" t="n">
        <x:v>247</x:v>
      </x:c>
    </x:row>
    <x:row r="5">
      <x:c r="A5" s="107" t="str">
        <x:v>Machine/section groups</x:v>
      </x:c>
      <x:c r="B5" s="100" t="n">
        <x:v>30</x:v>
      </x:c>
    </x:row>
    <x:row r="6">
      <x:c r="A6" s="107" t="str">
        <x:v>Working time basis</x:v>
      </x:c>
      <x:c r="B6" s="100" t="str">
        <x:v>10 hours/day from source workbook</x:v>
      </x:c>
    </x:row>
    <x:row r="7">
      <x:c r="A7" s="107" t="str">
        <x:v>Working days/month</x:v>
      </x:c>
      <x:c r="B7" s="100" t="n">
        <x:v>26</x:v>
      </x:c>
    </x:row>
    <x:row r="8">
      <x:c r="A8" s="107" t="str">
        <x:v>Monthly capacity</x:v>
      </x:c>
      <x:c r="B8" s="100" t="str">
        <x:v>Daily capacity x 26 days x equipment count</x:v>
      </x:c>
    </x:row>
    <x:row r="9">
      <x:c r="A9" s="107" t="str">
        <x:v>Utilization</x:v>
      </x:c>
      <x:c r="B9" s="100" t="str">
        <x:v>Required shifts / available shifts</x:v>
      </x:c>
    </x:row>
    <x:row r="10">
      <x:c r="A10" s="107" t="str">
        <x:v>Over capacity rule</x:v>
      </x:c>
      <x:c r="B10" s="100" t="str">
        <x:v>Utilization &gt; 100%</x:v>
      </x:c>
    </x:row>
    <x:row r="11">
      <x:c r="A11" s="107" t="str">
        <x:v>High load rule</x:v>
      </x:c>
      <x:c r="B11" s="100" t="str">
        <x:v>85% &lt;= utilization &lt;= 100%</x:v>
      </x:c>
    </x:row>
  </x:sheetData>
  <x:mergeCells>
    <x:mergeCell ref="A1:D1"/>
  </x:mergeCells>
  <x:pageMargins left="0.7" right="0.7" top="0.75" bottom="0.75" header="0.3" footer="0.3"/>
</x:worksheet>
</file>